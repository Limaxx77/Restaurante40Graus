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2b2abbba2a71b39/Área de Trabalho/40 graus/financeiro/"/>
    </mc:Choice>
  </mc:AlternateContent>
  <xr:revisionPtr revIDLastSave="0" documentId="8_{D1153DDB-D84B-4EE5-8CA2-A2D5695CA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  <sheet name="Planilha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6" i="1" l="1"/>
  <c r="H144" i="1"/>
  <c r="H136" i="1"/>
  <c r="H127" i="1"/>
  <c r="H133" i="1"/>
  <c r="B136" i="1"/>
  <c r="B146" i="1"/>
  <c r="B144" i="1"/>
  <c r="H108" i="1"/>
  <c r="H110" i="1"/>
  <c r="H109" i="1"/>
  <c r="J108" i="1"/>
  <c r="J106" i="1"/>
  <c r="J103" i="1"/>
  <c r="J102" i="1"/>
  <c r="J104" i="1"/>
  <c r="I103" i="1"/>
  <c r="I104" i="1"/>
  <c r="I105" i="1"/>
  <c r="I106" i="1"/>
  <c r="I102" i="1"/>
  <c r="I89" i="1"/>
  <c r="I87" i="1"/>
  <c r="I86" i="1"/>
  <c r="I85" i="1"/>
  <c r="I88" i="1"/>
  <c r="H93" i="1"/>
  <c r="H106" i="1"/>
  <c r="H95" i="1"/>
  <c r="H98" i="1" s="1"/>
  <c r="H89" i="1"/>
  <c r="B147" i="1" l="1"/>
  <c r="H69" i="1"/>
  <c r="H58" i="1"/>
  <c r="H52" i="1"/>
  <c r="H147" i="1" l="1"/>
  <c r="H148" i="1"/>
  <c r="B148" i="1"/>
  <c r="H61" i="1"/>
  <c r="H71" i="1" s="1"/>
  <c r="H73" i="1" s="1"/>
  <c r="H72" i="1" l="1"/>
  <c r="B52" i="1"/>
  <c r="B69" i="1"/>
  <c r="B58" i="1"/>
  <c r="B31" i="2"/>
  <c r="B20" i="2"/>
  <c r="B23" i="2" s="1"/>
  <c r="B33" i="2" s="1"/>
  <c r="H31" i="1"/>
  <c r="M30" i="1" s="1"/>
  <c r="H20" i="1"/>
  <c r="H23" i="1" s="1"/>
  <c r="H33" i="1" s="1"/>
  <c r="B28" i="1"/>
  <c r="B27" i="1"/>
  <c r="B30" i="1" s="1"/>
  <c r="B19" i="1"/>
  <c r="B20" i="1" s="1"/>
  <c r="B11" i="1"/>
  <c r="B10" i="1"/>
  <c r="B14" i="1" s="1"/>
  <c r="B23" i="1" s="1"/>
  <c r="B33" i="1" s="1"/>
  <c r="M14" i="1" l="1"/>
  <c r="B61" i="1"/>
  <c r="B71" i="1"/>
  <c r="B73" i="1" s="1"/>
  <c r="B35" i="2"/>
  <c r="B34" i="2"/>
  <c r="H35" i="1"/>
  <c r="H34" i="1"/>
  <c r="B35" i="1"/>
  <c r="B34" i="1"/>
  <c r="B72" i="1" l="1"/>
</calcChain>
</file>

<file path=xl/sharedStrings.xml><?xml version="1.0" encoding="utf-8"?>
<sst xmlns="http://schemas.openxmlformats.org/spreadsheetml/2006/main" count="187" uniqueCount="31">
  <si>
    <t>VALORES BRUTOS DE VENDA</t>
  </si>
  <si>
    <t>VALORES CRÉDITO/DÉBITO/PIXQRCODE</t>
  </si>
  <si>
    <t>PIX</t>
  </si>
  <si>
    <t>IFOOD</t>
  </si>
  <si>
    <t>DINHEIRO</t>
  </si>
  <si>
    <t>TOTAL VENDAS</t>
  </si>
  <si>
    <t>VALORES DESCONTO SISTEMAS</t>
  </si>
  <si>
    <t>VALOR</t>
  </si>
  <si>
    <t>STONE</t>
  </si>
  <si>
    <t>TOTAL</t>
  </si>
  <si>
    <t>VALORES VENDA LIQUIDO</t>
  </si>
  <si>
    <t>VALORES DE DESPESA</t>
  </si>
  <si>
    <t>COMPRAS</t>
  </si>
  <si>
    <t>BOLETOS/CONTAS PAGAS</t>
  </si>
  <si>
    <t>SALÁRIOS</t>
  </si>
  <si>
    <t>SALDO MÊS</t>
  </si>
  <si>
    <t>% LUCRO BRUTO</t>
  </si>
  <si>
    <t>% LÍQUIDO</t>
  </si>
  <si>
    <t>CONTA PENDENTE/ASSINADAS</t>
  </si>
  <si>
    <t>AGOSTO</t>
  </si>
  <si>
    <t>SETEMBRO</t>
  </si>
  <si>
    <t>VENDA</t>
  </si>
  <si>
    <t>DESPESA</t>
  </si>
  <si>
    <t>OUTUBRO</t>
  </si>
  <si>
    <t>NOVEMBRO</t>
  </si>
  <si>
    <t>DEZEMBRO</t>
  </si>
  <si>
    <t>%</t>
  </si>
  <si>
    <t>Tirando valor Nilton</t>
  </si>
  <si>
    <t>JANEIRO</t>
  </si>
  <si>
    <t>FEVEREIRO</t>
  </si>
  <si>
    <t>STONE/GETNET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</si>
</sst>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</font>
    <font>
      <sz val="11"/>
      <color rgb="FF151515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8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8" fillId="0" borderId="0" xfId="2" applyNumberFormat="1" applyFont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" xfId="1" applyNumberForma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0" fontId="2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[1]TOTAL_VENDAS!$B$26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[1]TOTAL_VENDAS!$A$27:$A$29</c15:sqref>
                  </c15:fullRef>
                </c:ext>
              </c:extLst>
              <c:f>[1]TOTAL_VENDAS!$A$27:$A$29</c:f>
              <c:strCache>
                <c:ptCount val="3"/>
                <c:pt idx="0">
                  <c:v>COMPRAS</c:v>
                </c:pt>
                <c:pt idx="1">
                  <c:v>BOLETOS/CONTAS PAGAS</c:v>
                </c:pt>
                <c:pt idx="2">
                  <c:v>SALÁRIOS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[1]TOTAL_VENDAS!$B$27:$B$30</c15:sqref>
                  </c15:fullRef>
                </c:ext>
              </c:extLst>
              <c:f>[1]TOTAL_VENDAS!$B$27:$B$29</c:f>
              <c:numCache>
                <c:formatCode>General</c:formatCode>
                <c:ptCount val="3"/>
                <c:pt idx="0">
                  <c:v>33957.699999999997</c:v>
                </c:pt>
                <c:pt idx="1">
                  <c:v>17063.22</c:v>
                </c:pt>
                <c:pt idx="2">
                  <c:v>20373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1-46FB-9017-DC589788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650448"/>
        <c:axId val="341653192"/>
      </c:barChart>
      <c:catAx>
        <c:axId val="34165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1653192"/>
        <c:crosses val="autoZero"/>
        <c:auto val="1"/>
        <c:lblAlgn val="ctr"/>
        <c:lblOffset val="100"/>
        <c:noMultiLvlLbl val="0"/>
      </c:catAx>
      <c:valAx>
        <c:axId val="34165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165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[2]TOTAL_VENDAS!$B$26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0A-4B40-8B88-29BA40FB25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0A-4B40-8B88-29BA40FB254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0A-4B40-8B88-29BA40FB254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0A-4B40-8B88-29BA40FB254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0A-4B40-8B88-29BA40FB25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[2]TOTAL_VENDAS!$A$27:$A$31</c:f>
              <c:strCache>
                <c:ptCount val="5"/>
                <c:pt idx="0">
                  <c:v>COMPRAS</c:v>
                </c:pt>
                <c:pt idx="1">
                  <c:v>BOLETOS/CONTAS PAGAS</c:v>
                </c:pt>
                <c:pt idx="2">
                  <c:v>SALÁRIOS</c:v>
                </c:pt>
                <c:pt idx="3">
                  <c:v>CONTA PENDENTE/ASSINADAS</c:v>
                </c:pt>
                <c:pt idx="4">
                  <c:v>TOTAL</c:v>
                </c:pt>
              </c:strCache>
            </c:strRef>
          </c:cat>
          <c:val>
            <c:numRef>
              <c:f>[2]TOTAL_VENDAS!$B$27:$B$31</c:f>
              <c:numCache>
                <c:formatCode>General</c:formatCode>
                <c:ptCount val="5"/>
                <c:pt idx="0">
                  <c:v>37872.03</c:v>
                </c:pt>
                <c:pt idx="1">
                  <c:v>15799.34</c:v>
                </c:pt>
                <c:pt idx="2">
                  <c:v>22303</c:v>
                </c:pt>
                <c:pt idx="3">
                  <c:v>633.5</c:v>
                </c:pt>
                <c:pt idx="4">
                  <c:v>76607.87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0A-4B40-8B88-29BA40FB25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[2]TOTAL_VENDAS!$B$26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17-4E31-9C96-372823336AF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17-4E31-9C96-372823336AF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17-4E31-9C96-372823336AF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17-4E31-9C96-372823336AF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17-4E31-9C96-372823336A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[2]TOTAL_VENDAS!$A$27:$A$31</c:f>
              <c:strCache>
                <c:ptCount val="5"/>
                <c:pt idx="0">
                  <c:v>COMPRAS</c:v>
                </c:pt>
                <c:pt idx="1">
                  <c:v>BOLETOS/CONTAS PAGAS</c:v>
                </c:pt>
                <c:pt idx="2">
                  <c:v>SALÁRIOS</c:v>
                </c:pt>
                <c:pt idx="3">
                  <c:v>CONTA PENDENTE/ASSINADAS</c:v>
                </c:pt>
                <c:pt idx="4">
                  <c:v>TOTAL</c:v>
                </c:pt>
              </c:strCache>
            </c:strRef>
          </c:cat>
          <c:val>
            <c:numRef>
              <c:f>[2]TOTAL_VENDAS!$B$27:$B$31</c:f>
              <c:numCache>
                <c:formatCode>General</c:formatCode>
                <c:ptCount val="5"/>
                <c:pt idx="0">
                  <c:v>37872.03</c:v>
                </c:pt>
                <c:pt idx="1">
                  <c:v>15799.34</c:v>
                </c:pt>
                <c:pt idx="2">
                  <c:v>22303</c:v>
                </c:pt>
                <c:pt idx="3">
                  <c:v>633.5</c:v>
                </c:pt>
                <c:pt idx="4">
                  <c:v>76607.87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17-4E31-9C96-372823336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20</xdr:row>
      <xdr:rowOff>72390</xdr:rowOff>
    </xdr:from>
    <xdr:to>
      <xdr:col>4</xdr:col>
      <xdr:colOff>548640</xdr:colOff>
      <xdr:row>33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B34B65-8E06-4516-B00E-6BD87A390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35313</xdr:colOff>
      <xdr:row>20</xdr:row>
      <xdr:rowOff>66583</xdr:rowOff>
    </xdr:from>
    <xdr:to>
      <xdr:col>10</xdr:col>
      <xdr:colOff>607010</xdr:colOff>
      <xdr:row>34</xdr:row>
      <xdr:rowOff>177553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FC7B329-A664-4A2A-AB04-9D6233A84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35313</xdr:colOff>
      <xdr:row>20</xdr:row>
      <xdr:rowOff>66583</xdr:rowOff>
    </xdr:from>
    <xdr:to>
      <xdr:col>4</xdr:col>
      <xdr:colOff>607010</xdr:colOff>
      <xdr:row>34</xdr:row>
      <xdr:rowOff>177553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3FE54D-E8FA-4E93-8556-B9064A318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an%20Lima\Downloads\VENDAS_40_AGOSTO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an%20Lima\Downloads\vendas_setembro_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_DEB_QRCODE"/>
      <sheetName val="PIX"/>
      <sheetName val="TOTAL_VENDAS"/>
    </sheetNames>
    <sheetDataSet>
      <sheetData sheetId="0">
        <row r="763">
          <cell r="H763">
            <v>90796.040000000023</v>
          </cell>
          <cell r="J763">
            <v>-1134.1490670000017</v>
          </cell>
          <cell r="K763">
            <v>-631.14701799999989</v>
          </cell>
        </row>
      </sheetData>
      <sheetData sheetId="1">
        <row r="41">
          <cell r="B41">
            <v>8271.7000000000007</v>
          </cell>
        </row>
      </sheetData>
      <sheetData sheetId="2">
        <row r="26">
          <cell r="B26" t="str">
            <v>VALOR</v>
          </cell>
        </row>
        <row r="27">
          <cell r="A27" t="str">
            <v>COMPRAS</v>
          </cell>
          <cell r="B27">
            <v>33957.699999999997</v>
          </cell>
        </row>
        <row r="28">
          <cell r="A28" t="str">
            <v>BOLETOS/CONTAS PAGAS</v>
          </cell>
          <cell r="B28">
            <v>17063.22</v>
          </cell>
        </row>
        <row r="29">
          <cell r="A29" t="str">
            <v>SALÁRIOS</v>
          </cell>
          <cell r="B29">
            <v>20373</v>
          </cell>
        </row>
        <row r="30">
          <cell r="B30">
            <v>71393.919999999998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_DEB_QRCODE"/>
      <sheetName val="PIX"/>
      <sheetName val="TOTAL_VENDAS"/>
    </sheetNames>
    <sheetDataSet>
      <sheetData sheetId="0"/>
      <sheetData sheetId="1"/>
      <sheetData sheetId="2">
        <row r="26">
          <cell r="B26" t="str">
            <v>VALOR</v>
          </cell>
        </row>
        <row r="27">
          <cell r="A27" t="str">
            <v>COMPRAS</v>
          </cell>
          <cell r="B27">
            <v>37872.03</v>
          </cell>
        </row>
        <row r="28">
          <cell r="A28" t="str">
            <v>BOLETOS/CONTAS PAGAS</v>
          </cell>
          <cell r="B28">
            <v>15799.34</v>
          </cell>
        </row>
        <row r="29">
          <cell r="A29" t="str">
            <v>SALÁRIOS</v>
          </cell>
          <cell r="B29">
            <v>22303</v>
          </cell>
        </row>
        <row r="30">
          <cell r="A30" t="str">
            <v>CONTA PENDENTE/ASSINADAS</v>
          </cell>
          <cell r="B30">
            <v>633.5</v>
          </cell>
        </row>
        <row r="31">
          <cell r="A31" t="str">
            <v>TOTAL</v>
          </cell>
          <cell r="B31">
            <v>76607.87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topLeftCell="A108" zoomScale="85" zoomScaleNormal="85" workbookViewId="0">
      <selection activeCell="H131" sqref="H131:H132"/>
    </sheetView>
  </sheetViews>
  <sheetFormatPr defaultRowHeight="15" x14ac:dyDescent="0.25"/>
  <cols>
    <col min="1" max="1" width="35.140625" bestFit="1" customWidth="1"/>
    <col min="2" max="2" width="12.7109375" bestFit="1" customWidth="1"/>
    <col min="6" max="6" width="8.85546875" style="27"/>
    <col min="7" max="7" width="35.140625" bestFit="1" customWidth="1"/>
    <col min="8" max="8" width="21.7109375" style="11" bestFit="1" customWidth="1"/>
    <col min="9" max="9" width="10.85546875" style="16" customWidth="1"/>
    <col min="10" max="10" width="12.7109375" style="8" bestFit="1" customWidth="1"/>
    <col min="11" max="11" width="17.85546875" style="8" customWidth="1"/>
    <col min="13" max="13" width="8.85546875" style="5"/>
  </cols>
  <sheetData>
    <row r="1" spans="1:13" ht="14.45" customHeight="1" x14ac:dyDescent="0.25">
      <c r="A1" s="22" t="s">
        <v>19</v>
      </c>
      <c r="B1" s="22"/>
      <c r="C1" s="22"/>
      <c r="D1" s="22"/>
      <c r="E1" s="22"/>
      <c r="F1" s="25"/>
      <c r="G1" s="22" t="s">
        <v>20</v>
      </c>
      <c r="H1" s="22"/>
      <c r="I1" s="22"/>
      <c r="J1" s="22"/>
      <c r="K1" s="22"/>
    </row>
    <row r="2" spans="1:13" ht="14.45" customHeight="1" x14ac:dyDescent="0.25">
      <c r="A2" s="22"/>
      <c r="B2" s="22"/>
      <c r="C2" s="22"/>
      <c r="D2" s="22"/>
      <c r="E2" s="22"/>
      <c r="F2" s="26"/>
      <c r="G2" s="22"/>
      <c r="H2" s="22"/>
      <c r="I2" s="22"/>
      <c r="J2" s="22"/>
      <c r="K2" s="22"/>
    </row>
    <row r="3" spans="1:13" ht="14.45" customHeight="1" x14ac:dyDescent="0.25">
      <c r="A3" s="22"/>
      <c r="B3" s="22"/>
      <c r="C3" s="22"/>
      <c r="D3" s="22"/>
      <c r="E3" s="22"/>
      <c r="F3" s="26"/>
      <c r="G3" s="22"/>
      <c r="H3" s="22"/>
      <c r="I3" s="22"/>
      <c r="J3" s="22"/>
      <c r="K3" s="22"/>
    </row>
    <row r="4" spans="1:13" ht="14.45" customHeight="1" x14ac:dyDescent="0.25">
      <c r="A4" s="22"/>
      <c r="B4" s="22"/>
      <c r="C4" s="22"/>
      <c r="D4" s="22"/>
      <c r="E4" s="22"/>
      <c r="F4" s="26"/>
      <c r="G4" s="22"/>
      <c r="H4" s="22"/>
      <c r="I4" s="22"/>
      <c r="J4" s="22"/>
      <c r="K4" s="22"/>
    </row>
    <row r="5" spans="1:13" ht="14.45" customHeight="1" x14ac:dyDescent="0.25">
      <c r="A5" s="22"/>
      <c r="B5" s="22"/>
      <c r="C5" s="22"/>
      <c r="D5" s="22"/>
      <c r="E5" s="22"/>
      <c r="F5" s="26"/>
      <c r="G5" s="22"/>
      <c r="H5" s="22"/>
      <c r="I5" s="22"/>
      <c r="J5" s="22"/>
      <c r="K5" s="22"/>
    </row>
    <row r="6" spans="1:13" ht="14.45" customHeight="1" x14ac:dyDescent="0.25">
      <c r="A6" s="22"/>
      <c r="B6" s="22"/>
      <c r="C6" s="22"/>
      <c r="D6" s="22"/>
      <c r="E6" s="22"/>
      <c r="F6" s="26"/>
      <c r="G6" s="22"/>
      <c r="H6" s="22"/>
      <c r="I6" s="22"/>
      <c r="J6" s="22"/>
      <c r="K6" s="22"/>
    </row>
    <row r="7" spans="1:13" ht="14.45" customHeight="1" x14ac:dyDescent="0.25">
      <c r="A7" s="22"/>
      <c r="B7" s="22"/>
      <c r="C7" s="22"/>
      <c r="D7" s="22"/>
      <c r="E7" s="22"/>
      <c r="F7" s="26"/>
      <c r="G7" s="22"/>
      <c r="H7" s="22"/>
      <c r="I7" s="22"/>
      <c r="J7" s="22"/>
      <c r="K7" s="22"/>
    </row>
    <row r="8" spans="1:13" ht="14.45" customHeight="1" x14ac:dyDescent="0.25">
      <c r="A8" s="22"/>
      <c r="B8" s="22"/>
      <c r="C8" s="22"/>
      <c r="D8" s="22"/>
      <c r="E8" s="22"/>
      <c r="F8" s="26"/>
      <c r="G8" s="22"/>
      <c r="H8" s="22"/>
      <c r="I8" s="22"/>
      <c r="J8" s="22"/>
      <c r="K8" s="22"/>
    </row>
    <row r="9" spans="1:13" ht="15" customHeight="1" x14ac:dyDescent="0.25">
      <c r="A9" s="23" t="s">
        <v>0</v>
      </c>
      <c r="B9" s="23"/>
      <c r="C9" s="24"/>
      <c r="D9" s="24"/>
      <c r="E9" s="24"/>
      <c r="F9" s="26"/>
      <c r="G9" s="23" t="s">
        <v>0</v>
      </c>
      <c r="H9" s="23"/>
      <c r="I9" s="24"/>
      <c r="J9" s="24"/>
      <c r="K9" s="24"/>
    </row>
    <row r="10" spans="1:13" x14ac:dyDescent="0.25">
      <c r="A10" s="1" t="s">
        <v>1</v>
      </c>
      <c r="B10" s="1">
        <f>[1]CRE_DEB_QRCODE!H763</f>
        <v>90796.040000000023</v>
      </c>
      <c r="C10" s="24"/>
      <c r="D10" s="24"/>
      <c r="E10" s="24"/>
      <c r="F10" s="26"/>
      <c r="G10" s="1" t="s">
        <v>1</v>
      </c>
      <c r="H10" s="1">
        <v>74346.130000000019</v>
      </c>
      <c r="I10" s="24"/>
      <c r="J10" s="24"/>
      <c r="K10" s="24"/>
    </row>
    <row r="11" spans="1:13" x14ac:dyDescent="0.25">
      <c r="A11" s="1" t="s">
        <v>2</v>
      </c>
      <c r="B11" s="1">
        <f>[1]PIX!B41</f>
        <v>8271.7000000000007</v>
      </c>
      <c r="C11" s="24"/>
      <c r="D11" s="24"/>
      <c r="E11" s="24"/>
      <c r="F11" s="26"/>
      <c r="G11" s="1" t="s">
        <v>2</v>
      </c>
      <c r="H11" s="1">
        <v>5328.4500000000007</v>
      </c>
      <c r="I11" s="24"/>
      <c r="J11" s="24"/>
      <c r="K11" s="24"/>
    </row>
    <row r="12" spans="1:13" x14ac:dyDescent="0.25">
      <c r="A12" s="1" t="s">
        <v>3</v>
      </c>
      <c r="B12" s="1">
        <v>4838.29</v>
      </c>
      <c r="C12" s="24"/>
      <c r="D12" s="24"/>
      <c r="E12" s="24"/>
      <c r="F12" s="26"/>
      <c r="G12" s="1" t="s">
        <v>3</v>
      </c>
      <c r="H12" s="4">
        <v>4581.07</v>
      </c>
      <c r="I12" s="24"/>
      <c r="J12" s="24"/>
      <c r="K12" s="24"/>
    </row>
    <row r="13" spans="1:13" x14ac:dyDescent="0.25">
      <c r="A13" s="1" t="s">
        <v>4</v>
      </c>
      <c r="B13" s="1">
        <v>2094</v>
      </c>
      <c r="C13" s="24"/>
      <c r="D13" s="24"/>
      <c r="E13" s="24"/>
      <c r="F13" s="26"/>
      <c r="G13" s="1" t="s">
        <v>4</v>
      </c>
      <c r="H13" s="1">
        <v>3240</v>
      </c>
      <c r="I13" s="24"/>
      <c r="J13" s="24"/>
      <c r="K13" s="24"/>
    </row>
    <row r="14" spans="1:13" x14ac:dyDescent="0.25">
      <c r="A14" s="1" t="s">
        <v>5</v>
      </c>
      <c r="B14" s="1">
        <f>SUM(B10:B13)</f>
        <v>106000.03000000001</v>
      </c>
      <c r="C14" s="24"/>
      <c r="D14" s="24"/>
      <c r="E14" s="24"/>
      <c r="F14" s="26"/>
      <c r="G14" s="1" t="s">
        <v>5</v>
      </c>
      <c r="H14" s="1">
        <v>87495.650000000023</v>
      </c>
      <c r="I14" s="24"/>
      <c r="J14" s="24"/>
      <c r="K14" s="24"/>
      <c r="L14" t="s">
        <v>21</v>
      </c>
      <c r="M14" s="5">
        <f>(H14/B14)-100%</f>
        <v>-0.17456957323502631</v>
      </c>
    </row>
    <row r="15" spans="1:13" x14ac:dyDescent="0.25">
      <c r="A15" s="23"/>
      <c r="B15" s="23"/>
      <c r="C15" s="24"/>
      <c r="D15" s="24"/>
      <c r="E15" s="24"/>
      <c r="F15" s="26"/>
      <c r="G15" s="23"/>
      <c r="H15" s="23"/>
      <c r="I15" s="24"/>
      <c r="J15" s="24"/>
      <c r="K15" s="24"/>
    </row>
    <row r="16" spans="1:13" x14ac:dyDescent="0.25">
      <c r="A16" s="23"/>
      <c r="B16" s="23"/>
      <c r="C16" s="24"/>
      <c r="D16" s="24"/>
      <c r="E16" s="24"/>
      <c r="F16" s="26"/>
      <c r="G16" s="23"/>
      <c r="H16" s="23"/>
      <c r="I16" s="24"/>
      <c r="J16" s="24"/>
      <c r="K16" s="24"/>
    </row>
    <row r="17" spans="1:13" x14ac:dyDescent="0.25">
      <c r="A17" s="1" t="s">
        <v>6</v>
      </c>
      <c r="B17" s="1" t="s">
        <v>7</v>
      </c>
      <c r="C17" s="24"/>
      <c r="D17" s="24"/>
      <c r="E17" s="24"/>
      <c r="F17" s="26"/>
      <c r="G17" s="1" t="s">
        <v>6</v>
      </c>
      <c r="H17" s="1" t="s">
        <v>7</v>
      </c>
      <c r="I17" s="24"/>
      <c r="J17" s="24"/>
      <c r="K17" s="24"/>
    </row>
    <row r="18" spans="1:13" x14ac:dyDescent="0.25">
      <c r="A18" s="1" t="s">
        <v>3</v>
      </c>
      <c r="B18" s="2">
        <v>-1108.8800000000001</v>
      </c>
      <c r="C18" s="24"/>
      <c r="D18" s="24"/>
      <c r="E18" s="24"/>
      <c r="F18" s="26"/>
      <c r="G18" s="1" t="s">
        <v>3</v>
      </c>
      <c r="H18" s="2">
        <v>995.57</v>
      </c>
      <c r="I18" s="24"/>
      <c r="J18" s="24"/>
      <c r="K18" s="24"/>
    </row>
    <row r="19" spans="1:13" x14ac:dyDescent="0.25">
      <c r="A19" s="1" t="s">
        <v>8</v>
      </c>
      <c r="B19" s="2">
        <f>[1]CRE_DEB_QRCODE!J763+[1]CRE_DEB_QRCODE!K763</f>
        <v>-1765.2960850000015</v>
      </c>
      <c r="C19" s="24"/>
      <c r="D19" s="24"/>
      <c r="E19" s="24"/>
      <c r="F19" s="26"/>
      <c r="G19" s="1" t="s">
        <v>8</v>
      </c>
      <c r="H19" s="2">
        <v>-1310.01</v>
      </c>
      <c r="I19" s="24"/>
      <c r="J19" s="24"/>
      <c r="K19" s="24"/>
    </row>
    <row r="20" spans="1:13" x14ac:dyDescent="0.25">
      <c r="A20" s="1" t="s">
        <v>9</v>
      </c>
      <c r="B20" s="2">
        <f>SUM(B18:B19)</f>
        <v>-2874.1760850000019</v>
      </c>
      <c r="C20" s="24"/>
      <c r="D20" s="24"/>
      <c r="E20" s="24"/>
      <c r="F20" s="26"/>
      <c r="G20" s="1" t="s">
        <v>9</v>
      </c>
      <c r="H20" s="2">
        <f>SUM(H18:H19)</f>
        <v>-314.43999999999994</v>
      </c>
      <c r="I20" s="24"/>
      <c r="J20" s="24"/>
      <c r="K20" s="24"/>
    </row>
    <row r="21" spans="1:13" x14ac:dyDescent="0.25">
      <c r="A21" s="23"/>
      <c r="B21" s="23"/>
      <c r="C21" s="24"/>
      <c r="D21" s="24"/>
      <c r="E21" s="24"/>
      <c r="F21" s="26"/>
      <c r="G21" s="23"/>
      <c r="H21" s="23"/>
      <c r="I21" s="24"/>
      <c r="J21" s="24"/>
      <c r="K21" s="24"/>
    </row>
    <row r="22" spans="1:13" x14ac:dyDescent="0.25">
      <c r="A22" s="23"/>
      <c r="B22" s="23"/>
      <c r="C22" s="24"/>
      <c r="D22" s="24"/>
      <c r="E22" s="24"/>
      <c r="F22" s="26"/>
      <c r="G22" s="23"/>
      <c r="H22" s="23"/>
      <c r="I22" s="24"/>
      <c r="J22" s="24"/>
      <c r="K22" s="24"/>
    </row>
    <row r="23" spans="1:13" x14ac:dyDescent="0.25">
      <c r="A23" s="1" t="s">
        <v>10</v>
      </c>
      <c r="B23" s="1">
        <f>B14+B20</f>
        <v>103125.85391500001</v>
      </c>
      <c r="C23" s="24"/>
      <c r="D23" s="24"/>
      <c r="E23" s="24"/>
      <c r="F23" s="26"/>
      <c r="G23" s="1" t="s">
        <v>10</v>
      </c>
      <c r="H23" s="1">
        <f>H14+H20</f>
        <v>87181.210000000021</v>
      </c>
      <c r="I23" s="24"/>
      <c r="J23" s="24"/>
      <c r="K23" s="24"/>
    </row>
    <row r="24" spans="1:13" x14ac:dyDescent="0.25">
      <c r="A24" s="23"/>
      <c r="B24" s="23"/>
      <c r="C24" s="24"/>
      <c r="D24" s="24"/>
      <c r="E24" s="24"/>
      <c r="F24" s="26"/>
      <c r="G24" s="23"/>
      <c r="H24" s="23"/>
      <c r="I24" s="24"/>
      <c r="J24" s="24"/>
      <c r="K24" s="24"/>
    </row>
    <row r="25" spans="1:13" x14ac:dyDescent="0.25">
      <c r="A25" s="23"/>
      <c r="B25" s="23"/>
      <c r="C25" s="24"/>
      <c r="D25" s="24"/>
      <c r="E25" s="24"/>
      <c r="F25" s="26"/>
      <c r="G25" s="23"/>
      <c r="H25" s="23"/>
      <c r="I25" s="24"/>
      <c r="J25" s="24"/>
      <c r="K25" s="24"/>
    </row>
    <row r="26" spans="1:13" x14ac:dyDescent="0.25">
      <c r="A26" s="1" t="s">
        <v>11</v>
      </c>
      <c r="B26" s="1" t="s">
        <v>7</v>
      </c>
      <c r="C26" s="24"/>
      <c r="D26" s="24"/>
      <c r="E26" s="24"/>
      <c r="F26" s="26"/>
      <c r="G26" s="1" t="s">
        <v>11</v>
      </c>
      <c r="H26" s="1" t="s">
        <v>7</v>
      </c>
      <c r="I26" s="24"/>
      <c r="J26" s="24"/>
      <c r="K26" s="24"/>
    </row>
    <row r="27" spans="1:13" x14ac:dyDescent="0.25">
      <c r="A27" s="1" t="s">
        <v>12</v>
      </c>
      <c r="B27" s="2">
        <f>33819.53+138.17</f>
        <v>33957.699999999997</v>
      </c>
      <c r="C27" s="24"/>
      <c r="D27" s="24"/>
      <c r="E27" s="24"/>
      <c r="F27" s="26"/>
      <c r="G27" s="1" t="s">
        <v>12</v>
      </c>
      <c r="H27" s="2">
        <v>37872.03</v>
      </c>
      <c r="I27" s="24"/>
      <c r="J27" s="24"/>
      <c r="K27" s="24"/>
    </row>
    <row r="28" spans="1:13" x14ac:dyDescent="0.25">
      <c r="A28" s="1" t="s">
        <v>13</v>
      </c>
      <c r="B28" s="2">
        <f>14204.14+2859.08</f>
        <v>17063.22</v>
      </c>
      <c r="C28" s="24"/>
      <c r="D28" s="24"/>
      <c r="E28" s="24"/>
      <c r="F28" s="26"/>
      <c r="G28" s="1" t="s">
        <v>13</v>
      </c>
      <c r="H28" s="2">
        <v>15799.34</v>
      </c>
      <c r="I28" s="24"/>
      <c r="J28" s="24"/>
      <c r="K28" s="24"/>
    </row>
    <row r="29" spans="1:13" x14ac:dyDescent="0.25">
      <c r="A29" s="1" t="s">
        <v>14</v>
      </c>
      <c r="B29" s="2">
        <v>20373</v>
      </c>
      <c r="C29" s="24"/>
      <c r="D29" s="24"/>
      <c r="E29" s="24"/>
      <c r="F29" s="26"/>
      <c r="G29" s="1" t="s">
        <v>14</v>
      </c>
      <c r="H29" s="2">
        <v>22303</v>
      </c>
      <c r="I29" s="24"/>
      <c r="J29" s="24"/>
      <c r="K29" s="24"/>
    </row>
    <row r="30" spans="1:13" x14ac:dyDescent="0.25">
      <c r="A30" s="1" t="s">
        <v>9</v>
      </c>
      <c r="B30" s="2">
        <f>SUM(B27:B29)</f>
        <v>71393.919999999998</v>
      </c>
      <c r="C30" s="24"/>
      <c r="D30" s="24"/>
      <c r="E30" s="24"/>
      <c r="F30" s="26"/>
      <c r="G30" s="1" t="s">
        <v>18</v>
      </c>
      <c r="H30" s="2">
        <v>633.5</v>
      </c>
      <c r="I30" s="24"/>
      <c r="J30" s="24"/>
      <c r="K30" s="24"/>
      <c r="L30" t="s">
        <v>22</v>
      </c>
      <c r="M30" s="5">
        <f>(H31/B30)-100%</f>
        <v>7.3030728667091038E-2</v>
      </c>
    </row>
    <row r="31" spans="1:13" x14ac:dyDescent="0.25">
      <c r="A31" s="23"/>
      <c r="B31" s="23"/>
      <c r="C31" s="24"/>
      <c r="D31" s="24"/>
      <c r="E31" s="24"/>
      <c r="F31" s="26"/>
      <c r="G31" s="1" t="s">
        <v>9</v>
      </c>
      <c r="H31" s="2">
        <f>SUM(H27:H30)</f>
        <v>76607.87</v>
      </c>
      <c r="I31" s="24"/>
      <c r="J31" s="24"/>
      <c r="K31" s="24"/>
    </row>
    <row r="32" spans="1:13" x14ac:dyDescent="0.25">
      <c r="A32" s="23"/>
      <c r="B32" s="23"/>
      <c r="C32" s="24"/>
      <c r="D32" s="24"/>
      <c r="E32" s="24"/>
      <c r="F32" s="26"/>
      <c r="G32" s="6"/>
      <c r="H32" s="1"/>
      <c r="I32" s="24"/>
      <c r="J32" s="24"/>
      <c r="K32" s="24"/>
    </row>
    <row r="33" spans="1:11" x14ac:dyDescent="0.25">
      <c r="A33" s="1" t="s">
        <v>15</v>
      </c>
      <c r="B33" s="1">
        <f>B23-B30</f>
        <v>31731.933915000016</v>
      </c>
      <c r="C33" s="24"/>
      <c r="D33" s="24"/>
      <c r="E33" s="24"/>
      <c r="F33" s="26"/>
      <c r="G33" s="1" t="s">
        <v>15</v>
      </c>
      <c r="H33" s="1">
        <f>H23-H31</f>
        <v>10573.340000000026</v>
      </c>
      <c r="I33" s="24"/>
      <c r="J33" s="24"/>
      <c r="K33" s="24"/>
    </row>
    <row r="34" spans="1:11" x14ac:dyDescent="0.25">
      <c r="A34" s="1" t="s">
        <v>16</v>
      </c>
      <c r="B34" s="3">
        <f>B33/B23</f>
        <v>0.30770105371592466</v>
      </c>
      <c r="C34" s="24"/>
      <c r="D34" s="24"/>
      <c r="E34" s="24"/>
      <c r="F34" s="26"/>
      <c r="G34" s="1" t="s">
        <v>16</v>
      </c>
      <c r="H34" s="3">
        <f>H33/H23</f>
        <v>0.12128003270429515</v>
      </c>
      <c r="I34" s="24"/>
      <c r="J34" s="24"/>
      <c r="K34" s="24"/>
    </row>
    <row r="35" spans="1:11" x14ac:dyDescent="0.25">
      <c r="A35" s="1" t="s">
        <v>17</v>
      </c>
      <c r="B35" s="3">
        <f>B33/B14</f>
        <v>0.29935778239874095</v>
      </c>
      <c r="C35" s="24"/>
      <c r="D35" s="24"/>
      <c r="E35" s="24"/>
      <c r="F35" s="26"/>
      <c r="G35" s="1" t="s">
        <v>17</v>
      </c>
      <c r="H35" s="3">
        <f>H33/H14</f>
        <v>0.1208441791106189</v>
      </c>
      <c r="I35" s="24"/>
      <c r="J35" s="24"/>
      <c r="K35" s="24"/>
    </row>
    <row r="39" spans="1:11" x14ac:dyDescent="0.25">
      <c r="A39" s="22" t="s">
        <v>23</v>
      </c>
      <c r="B39" s="22"/>
      <c r="C39" s="22"/>
      <c r="D39" s="22"/>
      <c r="E39" s="22"/>
      <c r="G39" s="22" t="s">
        <v>24</v>
      </c>
      <c r="H39" s="22"/>
      <c r="I39" s="22"/>
      <c r="J39" s="22"/>
      <c r="K39" s="22"/>
    </row>
    <row r="40" spans="1:11" x14ac:dyDescent="0.25">
      <c r="A40" s="22"/>
      <c r="B40" s="22"/>
      <c r="C40" s="22"/>
      <c r="D40" s="22"/>
      <c r="E40" s="22"/>
      <c r="G40" s="22"/>
      <c r="H40" s="22"/>
      <c r="I40" s="22"/>
      <c r="J40" s="22"/>
      <c r="K40" s="22"/>
    </row>
    <row r="41" spans="1:11" x14ac:dyDescent="0.25">
      <c r="A41" s="22"/>
      <c r="B41" s="22"/>
      <c r="C41" s="22"/>
      <c r="D41" s="22"/>
      <c r="E41" s="22"/>
      <c r="G41" s="22"/>
      <c r="H41" s="22"/>
      <c r="I41" s="22"/>
      <c r="J41" s="22"/>
      <c r="K41" s="22"/>
    </row>
    <row r="42" spans="1:11" x14ac:dyDescent="0.25">
      <c r="A42" s="22"/>
      <c r="B42" s="22"/>
      <c r="C42" s="22"/>
      <c r="D42" s="22"/>
      <c r="E42" s="22"/>
      <c r="G42" s="22"/>
      <c r="H42" s="22"/>
      <c r="I42" s="22"/>
      <c r="J42" s="22"/>
      <c r="K42" s="22"/>
    </row>
    <row r="43" spans="1:11" x14ac:dyDescent="0.25">
      <c r="A43" s="22"/>
      <c r="B43" s="22"/>
      <c r="C43" s="22"/>
      <c r="D43" s="22"/>
      <c r="E43" s="22"/>
      <c r="G43" s="22"/>
      <c r="H43" s="22"/>
      <c r="I43" s="22"/>
      <c r="J43" s="22"/>
      <c r="K43" s="22"/>
    </row>
    <row r="44" spans="1:11" x14ac:dyDescent="0.25">
      <c r="A44" s="22"/>
      <c r="B44" s="22"/>
      <c r="C44" s="22"/>
      <c r="D44" s="22"/>
      <c r="E44" s="22"/>
      <c r="G44" s="22"/>
      <c r="H44" s="22"/>
      <c r="I44" s="22"/>
      <c r="J44" s="22"/>
      <c r="K44" s="22"/>
    </row>
    <row r="45" spans="1:11" x14ac:dyDescent="0.25">
      <c r="A45" s="22"/>
      <c r="B45" s="22"/>
      <c r="C45" s="22"/>
      <c r="D45" s="22"/>
      <c r="E45" s="22"/>
      <c r="G45" s="22"/>
      <c r="H45" s="22"/>
      <c r="I45" s="22"/>
      <c r="J45" s="22"/>
      <c r="K45" s="22"/>
    </row>
    <row r="46" spans="1:11" x14ac:dyDescent="0.25">
      <c r="A46" s="22"/>
      <c r="B46" s="22"/>
      <c r="C46" s="22"/>
      <c r="D46" s="22"/>
      <c r="E46" s="22"/>
      <c r="G46" s="22"/>
      <c r="H46" s="22"/>
      <c r="I46" s="22"/>
      <c r="J46" s="22"/>
      <c r="K46" s="22"/>
    </row>
    <row r="47" spans="1:11" x14ac:dyDescent="0.25">
      <c r="A47" s="23" t="s">
        <v>0</v>
      </c>
      <c r="B47" s="23"/>
      <c r="C47" s="24"/>
      <c r="D47" s="24"/>
      <c r="E47" s="24"/>
      <c r="G47" s="23" t="s">
        <v>0</v>
      </c>
      <c r="H47" s="23"/>
      <c r="I47" s="24"/>
      <c r="J47" s="24"/>
      <c r="K47" s="24"/>
    </row>
    <row r="48" spans="1:11" x14ac:dyDescent="0.25">
      <c r="A48" s="1" t="s">
        <v>1</v>
      </c>
      <c r="B48" s="1">
        <v>63922.05</v>
      </c>
      <c r="C48" s="24"/>
      <c r="D48" s="24"/>
      <c r="E48" s="24"/>
      <c r="G48" s="1" t="s">
        <v>1</v>
      </c>
      <c r="H48" s="1">
        <v>77914.48</v>
      </c>
      <c r="I48" s="24"/>
      <c r="J48" s="24"/>
      <c r="K48" s="24"/>
    </row>
    <row r="49" spans="1:14" x14ac:dyDescent="0.25">
      <c r="A49" s="1" t="s">
        <v>2</v>
      </c>
      <c r="B49" s="1">
        <v>4220.8999999999996</v>
      </c>
      <c r="C49" s="24"/>
      <c r="D49" s="24"/>
      <c r="E49" s="24"/>
      <c r="G49" s="1" t="s">
        <v>2</v>
      </c>
      <c r="H49" s="1">
        <v>9128.64</v>
      </c>
      <c r="I49" s="24"/>
      <c r="J49" s="24"/>
      <c r="K49" s="24"/>
    </row>
    <row r="50" spans="1:14" x14ac:dyDescent="0.25">
      <c r="A50" s="1" t="s">
        <v>3</v>
      </c>
      <c r="B50" s="4">
        <v>6036.73</v>
      </c>
      <c r="C50" s="24"/>
      <c r="D50" s="24"/>
      <c r="E50" s="24"/>
      <c r="G50" s="1" t="s">
        <v>3</v>
      </c>
      <c r="H50" s="4">
        <v>11446.49</v>
      </c>
      <c r="I50" s="24"/>
      <c r="J50" s="24"/>
      <c r="K50" s="24"/>
    </row>
    <row r="51" spans="1:14" x14ac:dyDescent="0.25">
      <c r="A51" s="1" t="s">
        <v>4</v>
      </c>
      <c r="B51" s="1">
        <v>1601</v>
      </c>
      <c r="C51" s="24"/>
      <c r="D51" s="24"/>
      <c r="E51" s="24"/>
      <c r="G51" s="1" t="s">
        <v>4</v>
      </c>
      <c r="H51" s="1">
        <v>4542</v>
      </c>
      <c r="I51" s="24"/>
      <c r="J51" s="24"/>
      <c r="K51" s="24"/>
    </row>
    <row r="52" spans="1:14" x14ac:dyDescent="0.25">
      <c r="A52" s="1" t="s">
        <v>5</v>
      </c>
      <c r="B52" s="1">
        <f>SUM(B48:B51)</f>
        <v>75780.679999999993</v>
      </c>
      <c r="C52" s="24"/>
      <c r="D52" s="24"/>
      <c r="E52" s="24"/>
      <c r="G52" s="1" t="s">
        <v>5</v>
      </c>
      <c r="H52" s="1">
        <f>SUM(H48:H51)</f>
        <v>103031.61</v>
      </c>
      <c r="I52" s="24"/>
      <c r="J52" s="24"/>
      <c r="K52" s="24"/>
    </row>
    <row r="53" spans="1:14" x14ac:dyDescent="0.25">
      <c r="A53" s="23"/>
      <c r="B53" s="23"/>
      <c r="C53" s="24"/>
      <c r="D53" s="24"/>
      <c r="E53" s="24"/>
      <c r="G53" s="23"/>
      <c r="H53" s="23"/>
      <c r="I53" s="24"/>
      <c r="J53" s="24"/>
      <c r="K53" s="24"/>
      <c r="N53">
        <v>0</v>
      </c>
    </row>
    <row r="54" spans="1:14" x14ac:dyDescent="0.25">
      <c r="A54" s="23"/>
      <c r="B54" s="23"/>
      <c r="C54" s="24"/>
      <c r="D54" s="24"/>
      <c r="E54" s="24"/>
      <c r="G54" s="23"/>
      <c r="H54" s="23"/>
      <c r="I54" s="24"/>
      <c r="J54" s="24"/>
      <c r="K54" s="24"/>
    </row>
    <row r="55" spans="1:14" x14ac:dyDescent="0.25">
      <c r="A55" s="1" t="s">
        <v>6</v>
      </c>
      <c r="B55" s="1" t="s">
        <v>7</v>
      </c>
      <c r="C55" s="24"/>
      <c r="D55" s="24"/>
      <c r="E55" s="24"/>
      <c r="G55" s="1" t="s">
        <v>6</v>
      </c>
      <c r="H55" s="1" t="s">
        <v>7</v>
      </c>
      <c r="I55" s="24"/>
      <c r="J55" s="24"/>
      <c r="K55" s="24"/>
    </row>
    <row r="56" spans="1:14" x14ac:dyDescent="0.25">
      <c r="A56" s="1" t="s">
        <v>3</v>
      </c>
      <c r="B56" s="2">
        <v>1577.86</v>
      </c>
      <c r="C56" s="24"/>
      <c r="D56" s="24"/>
      <c r="E56" s="24"/>
      <c r="G56" s="1" t="s">
        <v>3</v>
      </c>
      <c r="H56" s="2">
        <v>2641.38</v>
      </c>
      <c r="I56" s="24"/>
      <c r="J56" s="24"/>
      <c r="K56" s="24"/>
    </row>
    <row r="57" spans="1:14" x14ac:dyDescent="0.25">
      <c r="A57" s="1" t="s">
        <v>8</v>
      </c>
      <c r="B57" s="2">
        <v>1220.83</v>
      </c>
      <c r="C57" s="24"/>
      <c r="D57" s="24"/>
      <c r="E57" s="24"/>
      <c r="G57" s="1" t="s">
        <v>8</v>
      </c>
      <c r="H57" s="2">
        <v>1619.15</v>
      </c>
      <c r="I57" s="24"/>
      <c r="J57" s="24"/>
      <c r="K57" s="24"/>
    </row>
    <row r="58" spans="1:14" x14ac:dyDescent="0.25">
      <c r="A58" s="1" t="s">
        <v>9</v>
      </c>
      <c r="B58" s="2">
        <f>SUM(B56:B57)</f>
        <v>2798.6899999999996</v>
      </c>
      <c r="C58" s="24"/>
      <c r="D58" s="24"/>
      <c r="E58" s="24"/>
      <c r="G58" s="1" t="s">
        <v>9</v>
      </c>
      <c r="H58" s="2">
        <f>SUM(H56:H57)</f>
        <v>4260.5300000000007</v>
      </c>
      <c r="I58" s="24"/>
      <c r="J58" s="24"/>
      <c r="K58" s="24"/>
    </row>
    <row r="59" spans="1:14" x14ac:dyDescent="0.25">
      <c r="A59" s="23"/>
      <c r="B59" s="23"/>
      <c r="C59" s="24"/>
      <c r="D59" s="24"/>
      <c r="E59" s="24"/>
      <c r="G59" s="23"/>
      <c r="H59" s="23"/>
      <c r="I59" s="24"/>
      <c r="J59" s="24"/>
      <c r="K59" s="24"/>
    </row>
    <row r="60" spans="1:14" x14ac:dyDescent="0.25">
      <c r="A60" s="23"/>
      <c r="B60" s="23"/>
      <c r="C60" s="24"/>
      <c r="D60" s="24"/>
      <c r="E60" s="24"/>
      <c r="G60" s="23"/>
      <c r="H60" s="23"/>
      <c r="I60" s="24"/>
      <c r="J60" s="24"/>
      <c r="K60" s="24"/>
    </row>
    <row r="61" spans="1:14" x14ac:dyDescent="0.25">
      <c r="A61" s="1" t="s">
        <v>10</v>
      </c>
      <c r="B61" s="1">
        <f>B52-B58</f>
        <v>72981.989999999991</v>
      </c>
      <c r="C61" s="24"/>
      <c r="D61" s="24"/>
      <c r="E61" s="24"/>
      <c r="G61" s="1" t="s">
        <v>10</v>
      </c>
      <c r="H61" s="1">
        <f>H52-H58</f>
        <v>98771.08</v>
      </c>
      <c r="I61" s="24"/>
      <c r="J61" s="24"/>
      <c r="K61" s="24"/>
    </row>
    <row r="62" spans="1:14" x14ac:dyDescent="0.25">
      <c r="A62" s="23"/>
      <c r="B62" s="23"/>
      <c r="C62" s="24"/>
      <c r="D62" s="24"/>
      <c r="E62" s="24"/>
      <c r="G62" s="23"/>
      <c r="H62" s="23"/>
      <c r="I62" s="24"/>
      <c r="J62" s="24"/>
      <c r="K62" s="24"/>
    </row>
    <row r="63" spans="1:14" x14ac:dyDescent="0.25">
      <c r="A63" s="23"/>
      <c r="B63" s="23"/>
      <c r="C63" s="24"/>
      <c r="D63" s="24"/>
      <c r="E63" s="24"/>
      <c r="G63" s="23"/>
      <c r="H63" s="23"/>
      <c r="I63" s="24"/>
      <c r="J63" s="24"/>
      <c r="K63" s="24"/>
    </row>
    <row r="64" spans="1:14" x14ac:dyDescent="0.25">
      <c r="A64" s="1" t="s">
        <v>11</v>
      </c>
      <c r="B64" s="1" t="s">
        <v>7</v>
      </c>
      <c r="C64" s="24"/>
      <c r="D64" s="24"/>
      <c r="E64" s="24"/>
      <c r="G64" s="1" t="s">
        <v>11</v>
      </c>
      <c r="H64" s="1" t="s">
        <v>7</v>
      </c>
      <c r="I64" s="24"/>
      <c r="J64" s="24"/>
      <c r="K64" s="24"/>
    </row>
    <row r="65" spans="1:11" x14ac:dyDescent="0.25">
      <c r="A65" s="1" t="s">
        <v>12</v>
      </c>
      <c r="B65" s="2">
        <v>40278.980000000003</v>
      </c>
      <c r="C65" s="24"/>
      <c r="D65" s="24"/>
      <c r="E65" s="24"/>
      <c r="G65" s="1" t="s">
        <v>12</v>
      </c>
      <c r="H65" s="2">
        <v>41166.29</v>
      </c>
      <c r="I65" s="24"/>
      <c r="J65" s="24"/>
      <c r="K65" s="24"/>
    </row>
    <row r="66" spans="1:11" x14ac:dyDescent="0.25">
      <c r="A66" s="1" t="s">
        <v>13</v>
      </c>
      <c r="B66" s="2">
        <v>26954.639999999999</v>
      </c>
      <c r="C66" s="24"/>
      <c r="D66" s="24"/>
      <c r="E66" s="24"/>
      <c r="G66" s="1" t="s">
        <v>13</v>
      </c>
      <c r="H66" s="2">
        <v>19716.02</v>
      </c>
      <c r="I66" s="24"/>
      <c r="J66" s="24"/>
      <c r="K66" s="24"/>
    </row>
    <row r="67" spans="1:11" x14ac:dyDescent="0.25">
      <c r="A67" s="1" t="s">
        <v>14</v>
      </c>
      <c r="B67" s="2">
        <v>23991.14</v>
      </c>
      <c r="C67" s="24"/>
      <c r="D67" s="24"/>
      <c r="E67" s="24"/>
      <c r="G67" s="1" t="s">
        <v>14</v>
      </c>
      <c r="H67" s="2">
        <v>21134</v>
      </c>
      <c r="I67" s="24"/>
      <c r="J67" s="24"/>
      <c r="K67" s="24"/>
    </row>
    <row r="68" spans="1:11" x14ac:dyDescent="0.25">
      <c r="A68" s="1" t="s">
        <v>18</v>
      </c>
      <c r="B68" s="2">
        <v>162</v>
      </c>
      <c r="C68" s="24"/>
      <c r="D68" s="24"/>
      <c r="E68" s="24"/>
      <c r="G68" s="1" t="s">
        <v>18</v>
      </c>
      <c r="H68" s="2">
        <v>0</v>
      </c>
      <c r="I68" s="24"/>
      <c r="J68" s="24"/>
      <c r="K68" s="24"/>
    </row>
    <row r="69" spans="1:11" x14ac:dyDescent="0.25">
      <c r="A69" s="1" t="s">
        <v>9</v>
      </c>
      <c r="B69" s="2">
        <f>SUM(B65:B68)</f>
        <v>91386.76</v>
      </c>
      <c r="C69" s="24"/>
      <c r="D69" s="24"/>
      <c r="E69" s="24"/>
      <c r="G69" s="1" t="s">
        <v>9</v>
      </c>
      <c r="H69" s="2">
        <f>SUM(H65:H68)</f>
        <v>82016.31</v>
      </c>
      <c r="I69" s="24"/>
      <c r="J69" s="24"/>
      <c r="K69" s="24"/>
    </row>
    <row r="70" spans="1:11" x14ac:dyDescent="0.25">
      <c r="A70" s="6"/>
      <c r="B70" s="6"/>
      <c r="C70" s="24"/>
      <c r="D70" s="24"/>
      <c r="E70" s="24"/>
      <c r="G70" s="6"/>
      <c r="H70" s="1"/>
      <c r="I70" s="24"/>
      <c r="J70" s="24"/>
      <c r="K70" s="24"/>
    </row>
    <row r="71" spans="1:11" x14ac:dyDescent="0.25">
      <c r="A71" s="1" t="s">
        <v>15</v>
      </c>
      <c r="B71" s="1">
        <f>B61-B69</f>
        <v>-18404.770000000004</v>
      </c>
      <c r="C71" s="24"/>
      <c r="D71" s="24"/>
      <c r="E71" s="24"/>
      <c r="G71" s="1" t="s">
        <v>15</v>
      </c>
      <c r="H71" s="1">
        <f>H61-H69</f>
        <v>16754.770000000004</v>
      </c>
      <c r="I71" s="24"/>
      <c r="J71" s="24"/>
      <c r="K71" s="24"/>
    </row>
    <row r="72" spans="1:11" x14ac:dyDescent="0.25">
      <c r="A72" s="1" t="s">
        <v>16</v>
      </c>
      <c r="B72" s="3">
        <f>B71/B61</f>
        <v>-0.25218235348200296</v>
      </c>
      <c r="C72" s="24"/>
      <c r="D72" s="24"/>
      <c r="E72" s="24"/>
      <c r="G72" s="1" t="s">
        <v>16</v>
      </c>
      <c r="H72" s="3">
        <f>H71/H61</f>
        <v>0.16963234582430409</v>
      </c>
      <c r="I72" s="24"/>
      <c r="J72" s="24"/>
      <c r="K72" s="24"/>
    </row>
    <row r="73" spans="1:11" x14ac:dyDescent="0.25">
      <c r="A73" s="1" t="s">
        <v>17</v>
      </c>
      <c r="B73" s="3">
        <f>B71/B52</f>
        <v>-0.24286889481593468</v>
      </c>
      <c r="C73" s="24"/>
      <c r="D73" s="24"/>
      <c r="E73" s="24"/>
      <c r="G73" s="1" t="s">
        <v>17</v>
      </c>
      <c r="H73" s="3">
        <f>H71/H52</f>
        <v>0.16261776361642805</v>
      </c>
      <c r="I73" s="24"/>
      <c r="J73" s="24"/>
      <c r="K73" s="24"/>
    </row>
    <row r="76" spans="1:11" x14ac:dyDescent="0.25">
      <c r="G76" s="22" t="s">
        <v>25</v>
      </c>
      <c r="H76" s="22"/>
      <c r="I76" s="22"/>
      <c r="J76" s="22"/>
      <c r="K76" s="22"/>
    </row>
    <row r="77" spans="1:11" x14ac:dyDescent="0.25">
      <c r="G77" s="22"/>
      <c r="H77" s="22"/>
      <c r="I77" s="22"/>
      <c r="J77" s="22"/>
      <c r="K77" s="22"/>
    </row>
    <row r="78" spans="1:11" x14ac:dyDescent="0.25">
      <c r="G78" s="22"/>
      <c r="H78" s="22"/>
      <c r="I78" s="22"/>
      <c r="J78" s="22"/>
      <c r="K78" s="22"/>
    </row>
    <row r="79" spans="1:11" x14ac:dyDescent="0.25">
      <c r="G79" s="22"/>
      <c r="H79" s="22"/>
      <c r="I79" s="22"/>
      <c r="J79" s="22"/>
      <c r="K79" s="22"/>
    </row>
    <row r="80" spans="1:11" x14ac:dyDescent="0.25">
      <c r="G80" s="22"/>
      <c r="H80" s="22"/>
      <c r="I80" s="22"/>
      <c r="J80" s="22"/>
      <c r="K80" s="22"/>
    </row>
    <row r="81" spans="7:11" x14ac:dyDescent="0.25">
      <c r="G81" s="22"/>
      <c r="H81" s="22"/>
      <c r="I81" s="22"/>
      <c r="J81" s="22"/>
      <c r="K81" s="22"/>
    </row>
    <row r="82" spans="7:11" x14ac:dyDescent="0.25">
      <c r="G82" s="22"/>
      <c r="H82" s="22"/>
      <c r="I82" s="22"/>
      <c r="J82" s="22"/>
      <c r="K82" s="22"/>
    </row>
    <row r="83" spans="7:11" x14ac:dyDescent="0.25">
      <c r="G83" s="22"/>
      <c r="H83" s="22"/>
      <c r="I83" s="22"/>
      <c r="J83" s="22"/>
      <c r="K83" s="22"/>
    </row>
    <row r="84" spans="7:11" x14ac:dyDescent="0.25">
      <c r="G84" s="23" t="s">
        <v>0</v>
      </c>
      <c r="H84" s="23"/>
      <c r="I84" s="15" t="s">
        <v>26</v>
      </c>
      <c r="J84" s="17"/>
      <c r="K84" s="18"/>
    </row>
    <row r="85" spans="7:11" x14ac:dyDescent="0.25">
      <c r="G85" s="1" t="s">
        <v>1</v>
      </c>
      <c r="H85" s="12">
        <v>62607.769999999968</v>
      </c>
      <c r="I85" s="15">
        <f>H85/H89</f>
        <v>0.82373756504712692</v>
      </c>
      <c r="J85" s="19"/>
      <c r="K85" s="20"/>
    </row>
    <row r="86" spans="7:11" x14ac:dyDescent="0.25">
      <c r="G86" s="1" t="s">
        <v>2</v>
      </c>
      <c r="H86" s="13">
        <v>3251</v>
      </c>
      <c r="I86" s="15">
        <f>H86/H89</f>
        <v>4.2773777503466601E-2</v>
      </c>
      <c r="J86" s="19"/>
      <c r="K86" s="20"/>
    </row>
    <row r="87" spans="7:11" x14ac:dyDescent="0.25">
      <c r="G87" s="1" t="s">
        <v>3</v>
      </c>
      <c r="H87" s="13">
        <v>5789.59</v>
      </c>
      <c r="I87" s="15">
        <f>H87/H89</f>
        <v>7.6174295446415005E-2</v>
      </c>
      <c r="J87" s="19"/>
      <c r="K87" s="20"/>
    </row>
    <row r="88" spans="7:11" x14ac:dyDescent="0.25">
      <c r="G88" s="1" t="s">
        <v>4</v>
      </c>
      <c r="H88" s="1">
        <v>4356.1499999999996</v>
      </c>
      <c r="I88" s="15">
        <f>H88/H89</f>
        <v>5.7314362002991698E-2</v>
      </c>
      <c r="J88" s="19"/>
      <c r="K88" s="20"/>
    </row>
    <row r="89" spans="7:11" x14ac:dyDescent="0.25">
      <c r="G89" s="1" t="s">
        <v>5</v>
      </c>
      <c r="H89" s="1">
        <f>SUM(H85:H88)</f>
        <v>76004.509999999951</v>
      </c>
      <c r="I89" s="15">
        <f>SUM(I85:I88)</f>
        <v>1.0000000000000002</v>
      </c>
      <c r="J89" s="19"/>
      <c r="K89" s="20"/>
    </row>
    <row r="90" spans="7:11" x14ac:dyDescent="0.25">
      <c r="G90" s="23"/>
      <c r="H90" s="23"/>
      <c r="I90" s="15"/>
      <c r="J90" s="19"/>
      <c r="K90" s="20"/>
    </row>
    <row r="91" spans="7:11" x14ac:dyDescent="0.25">
      <c r="G91" s="23"/>
      <c r="H91" s="23"/>
      <c r="I91" s="15"/>
      <c r="J91" s="19"/>
      <c r="K91" s="20"/>
    </row>
    <row r="92" spans="7:11" x14ac:dyDescent="0.25">
      <c r="G92" s="1" t="s">
        <v>6</v>
      </c>
      <c r="H92" s="1" t="s">
        <v>7</v>
      </c>
      <c r="I92" s="15"/>
      <c r="J92" s="19"/>
      <c r="K92" s="20"/>
    </row>
    <row r="93" spans="7:11" x14ac:dyDescent="0.25">
      <c r="G93" s="1" t="s">
        <v>3</v>
      </c>
      <c r="H93" s="2">
        <f>1070.5+454.85</f>
        <v>1525.35</v>
      </c>
      <c r="I93" s="15"/>
      <c r="J93" s="19"/>
      <c r="K93" s="20"/>
    </row>
    <row r="94" spans="7:11" x14ac:dyDescent="0.25">
      <c r="G94" s="1" t="s">
        <v>8</v>
      </c>
      <c r="H94" s="9">
        <v>1257.6555579999999</v>
      </c>
      <c r="I94" s="15"/>
      <c r="J94" s="19"/>
      <c r="K94" s="20"/>
    </row>
    <row r="95" spans="7:11" x14ac:dyDescent="0.25">
      <c r="G95" s="1" t="s">
        <v>9</v>
      </c>
      <c r="H95" s="2">
        <f>SUM(H93:H94)</f>
        <v>2783.0055579999998</v>
      </c>
      <c r="I95" s="15"/>
      <c r="J95" s="19"/>
      <c r="K95" s="20"/>
    </row>
    <row r="96" spans="7:11" x14ac:dyDescent="0.25">
      <c r="G96" s="23"/>
      <c r="H96" s="23"/>
      <c r="I96" s="15"/>
      <c r="J96" s="19"/>
      <c r="K96" s="20"/>
    </row>
    <row r="97" spans="7:11" x14ac:dyDescent="0.25">
      <c r="G97" s="23"/>
      <c r="H97" s="23"/>
      <c r="I97" s="15"/>
      <c r="J97" s="19"/>
      <c r="K97" s="20"/>
    </row>
    <row r="98" spans="7:11" x14ac:dyDescent="0.25">
      <c r="G98" s="1" t="s">
        <v>10</v>
      </c>
      <c r="H98" s="10">
        <f>H89-H95</f>
        <v>73221.504441999947</v>
      </c>
      <c r="I98" s="15"/>
      <c r="J98" s="19"/>
      <c r="K98" s="20"/>
    </row>
    <row r="99" spans="7:11" x14ac:dyDescent="0.25">
      <c r="G99" s="23"/>
      <c r="H99" s="23"/>
      <c r="I99" s="15"/>
      <c r="J99" s="19"/>
      <c r="K99" s="20"/>
    </row>
    <row r="100" spans="7:11" x14ac:dyDescent="0.25">
      <c r="G100" s="23"/>
      <c r="H100" s="23"/>
      <c r="I100" s="15"/>
      <c r="J100" s="19"/>
      <c r="K100" s="20"/>
    </row>
    <row r="101" spans="7:11" x14ac:dyDescent="0.25">
      <c r="G101" s="1" t="s">
        <v>11</v>
      </c>
      <c r="H101" s="1" t="s">
        <v>7</v>
      </c>
      <c r="I101" s="15"/>
      <c r="J101" s="19"/>
      <c r="K101" s="20"/>
    </row>
    <row r="102" spans="7:11" x14ac:dyDescent="0.25">
      <c r="G102" s="1" t="s">
        <v>12</v>
      </c>
      <c r="H102" s="2">
        <v>25817.05</v>
      </c>
      <c r="I102" s="15">
        <f>H102/H$106</f>
        <v>0.34369840440218535</v>
      </c>
      <c r="J102" s="14">
        <f>-H102</f>
        <v>-25817.05</v>
      </c>
      <c r="K102" s="20"/>
    </row>
    <row r="103" spans="7:11" x14ac:dyDescent="0.25">
      <c r="G103" s="1" t="s">
        <v>13</v>
      </c>
      <c r="H103" s="2">
        <v>29862.87</v>
      </c>
      <c r="I103" s="15">
        <f t="shared" ref="I103:I106" si="0">H103/H$106</f>
        <v>0.39755978199948827</v>
      </c>
      <c r="J103" s="14">
        <f>-H103</f>
        <v>-29862.87</v>
      </c>
      <c r="K103" s="20"/>
    </row>
    <row r="104" spans="7:11" x14ac:dyDescent="0.25">
      <c r="G104" s="1" t="s">
        <v>14</v>
      </c>
      <c r="H104" s="2">
        <v>19435.5</v>
      </c>
      <c r="I104" s="15">
        <f t="shared" si="0"/>
        <v>0.25874181359832643</v>
      </c>
      <c r="J104" s="14">
        <f>H104-33840.5</f>
        <v>-14405</v>
      </c>
      <c r="K104" s="20" t="s">
        <v>27</v>
      </c>
    </row>
    <row r="105" spans="7:11" x14ac:dyDescent="0.25">
      <c r="G105" s="1" t="s">
        <v>18</v>
      </c>
      <c r="H105" s="2">
        <v>0</v>
      </c>
      <c r="I105" s="15">
        <f t="shared" si="0"/>
        <v>0</v>
      </c>
      <c r="J105" s="14"/>
      <c r="K105" s="20"/>
    </row>
    <row r="106" spans="7:11" x14ac:dyDescent="0.25">
      <c r="G106" s="1" t="s">
        <v>9</v>
      </c>
      <c r="H106" s="2">
        <f>SUM(H102:H105)</f>
        <v>75115.42</v>
      </c>
      <c r="I106" s="15">
        <f t="shared" si="0"/>
        <v>1</v>
      </c>
      <c r="J106" s="14">
        <f>SUM(J102:J105)</f>
        <v>-70084.92</v>
      </c>
      <c r="K106" s="20"/>
    </row>
    <row r="107" spans="7:11" x14ac:dyDescent="0.25">
      <c r="G107" s="6"/>
      <c r="H107" s="1"/>
      <c r="I107" s="15"/>
      <c r="J107" s="14"/>
      <c r="K107" s="20"/>
    </row>
    <row r="108" spans="7:11" x14ac:dyDescent="0.25">
      <c r="G108" s="1" t="s">
        <v>15</v>
      </c>
      <c r="H108" s="1">
        <f>H98+J106</f>
        <v>3136.5844419999485</v>
      </c>
      <c r="I108" s="7"/>
      <c r="J108" s="14">
        <f>H98+J106</f>
        <v>3136.5844419999485</v>
      </c>
      <c r="K108" s="20"/>
    </row>
    <row r="109" spans="7:11" x14ac:dyDescent="0.25">
      <c r="G109" s="1" t="s">
        <v>16</v>
      </c>
      <c r="H109" s="3">
        <f>J108/H89</f>
        <v>4.1268398967376413E-2</v>
      </c>
      <c r="I109" s="15"/>
      <c r="J109" s="14"/>
      <c r="K109" s="20"/>
    </row>
    <row r="110" spans="7:11" x14ac:dyDescent="0.25">
      <c r="G110" s="1" t="s">
        <v>17</v>
      </c>
      <c r="H110" s="3">
        <f>J108/H98</f>
        <v>4.2836929750391738E-2</v>
      </c>
      <c r="I110" s="15"/>
      <c r="J110" s="14"/>
      <c r="K110" s="21"/>
    </row>
    <row r="113" spans="1:13" x14ac:dyDescent="0.25">
      <c r="G113" s="5"/>
      <c r="H113"/>
      <c r="I113"/>
      <c r="J113"/>
      <c r="K113"/>
      <c r="M113"/>
    </row>
    <row r="114" spans="1:13" ht="15" customHeight="1" x14ac:dyDescent="0.25">
      <c r="A114" s="22" t="s">
        <v>28</v>
      </c>
      <c r="B114" s="22"/>
      <c r="C114" s="22"/>
      <c r="D114" s="22"/>
      <c r="E114" s="22"/>
      <c r="G114" s="22" t="s">
        <v>29</v>
      </c>
      <c r="H114" s="22"/>
      <c r="I114" s="22"/>
      <c r="J114" s="22"/>
      <c r="K114" s="22"/>
      <c r="M114"/>
    </row>
    <row r="115" spans="1:13" ht="15" customHeight="1" x14ac:dyDescent="0.25">
      <c r="A115" s="22"/>
      <c r="B115" s="22"/>
      <c r="C115" s="22"/>
      <c r="D115" s="22"/>
      <c r="E115" s="22"/>
      <c r="G115" s="22"/>
      <c r="H115" s="22"/>
      <c r="I115" s="22"/>
      <c r="J115" s="22"/>
      <c r="K115" s="22"/>
      <c r="M115"/>
    </row>
    <row r="116" spans="1:13" ht="15" customHeight="1" x14ac:dyDescent="0.25">
      <c r="A116" s="22"/>
      <c r="B116" s="22"/>
      <c r="C116" s="22"/>
      <c r="D116" s="22"/>
      <c r="E116" s="22"/>
      <c r="G116" s="22"/>
      <c r="H116" s="22"/>
      <c r="I116" s="22"/>
      <c r="J116" s="22"/>
      <c r="K116" s="22"/>
      <c r="M116"/>
    </row>
    <row r="117" spans="1:13" ht="15" customHeight="1" x14ac:dyDescent="0.25">
      <c r="A117" s="22"/>
      <c r="B117" s="22"/>
      <c r="C117" s="22"/>
      <c r="D117" s="22"/>
      <c r="E117" s="22"/>
      <c r="G117" s="22"/>
      <c r="H117" s="22"/>
      <c r="I117" s="22"/>
      <c r="J117" s="22"/>
      <c r="K117" s="22"/>
      <c r="M117"/>
    </row>
    <row r="118" spans="1:13" ht="15" customHeight="1" x14ac:dyDescent="0.25">
      <c r="A118" s="22"/>
      <c r="B118" s="22"/>
      <c r="C118" s="22"/>
      <c r="D118" s="22"/>
      <c r="E118" s="22"/>
      <c r="G118" s="22"/>
      <c r="H118" s="22"/>
      <c r="I118" s="22"/>
      <c r="J118" s="22"/>
      <c r="K118" s="22"/>
      <c r="M118"/>
    </row>
    <row r="119" spans="1:13" ht="15" customHeight="1" x14ac:dyDescent="0.25">
      <c r="A119" s="22"/>
      <c r="B119" s="22"/>
      <c r="C119" s="22"/>
      <c r="D119" s="22"/>
      <c r="E119" s="22"/>
      <c r="G119" s="22"/>
      <c r="H119" s="22"/>
      <c r="I119" s="22"/>
      <c r="J119" s="22"/>
      <c r="K119" s="22"/>
      <c r="M119"/>
    </row>
    <row r="120" spans="1:13" ht="15" customHeight="1" x14ac:dyDescent="0.25">
      <c r="A120" s="22"/>
      <c r="B120" s="22"/>
      <c r="C120" s="22"/>
      <c r="D120" s="22"/>
      <c r="E120" s="22"/>
      <c r="G120" s="22"/>
      <c r="H120" s="22"/>
      <c r="I120" s="22"/>
      <c r="J120" s="22"/>
      <c r="K120" s="22"/>
      <c r="M120"/>
    </row>
    <row r="121" spans="1:13" ht="15" customHeight="1" x14ac:dyDescent="0.25">
      <c r="A121" s="22"/>
      <c r="B121" s="22"/>
      <c r="C121" s="22"/>
      <c r="D121" s="22"/>
      <c r="E121" s="22"/>
      <c r="G121" s="22"/>
      <c r="H121" s="22"/>
      <c r="I121" s="22"/>
      <c r="J121" s="22"/>
      <c r="K121" s="22"/>
      <c r="M121"/>
    </row>
    <row r="122" spans="1:13" x14ac:dyDescent="0.25">
      <c r="A122" s="23" t="s">
        <v>0</v>
      </c>
      <c r="B122" s="23"/>
      <c r="C122" s="24"/>
      <c r="D122" s="24"/>
      <c r="E122" s="24"/>
      <c r="G122" s="23" t="s">
        <v>0</v>
      </c>
      <c r="H122" s="23"/>
      <c r="I122" s="24"/>
      <c r="J122" s="24"/>
      <c r="K122" s="24"/>
      <c r="M122"/>
    </row>
    <row r="123" spans="1:13" x14ac:dyDescent="0.25">
      <c r="A123" s="1" t="s">
        <v>1</v>
      </c>
      <c r="B123" s="1">
        <v>61104.03</v>
      </c>
      <c r="C123" s="24"/>
      <c r="D123" s="24"/>
      <c r="E123" s="24"/>
      <c r="G123" s="1" t="s">
        <v>1</v>
      </c>
      <c r="H123" s="1">
        <v>61896.55</v>
      </c>
      <c r="I123" s="24"/>
      <c r="J123" s="24"/>
      <c r="K123" s="24"/>
      <c r="M123"/>
    </row>
    <row r="124" spans="1:13" x14ac:dyDescent="0.25">
      <c r="A124" s="1" t="s">
        <v>2</v>
      </c>
      <c r="B124" s="1">
        <v>6582.78</v>
      </c>
      <c r="C124" s="24"/>
      <c r="D124" s="24"/>
      <c r="E124" s="24"/>
      <c r="G124" s="1" t="s">
        <v>2</v>
      </c>
      <c r="H124" s="1">
        <v>4438.6499999999996</v>
      </c>
      <c r="I124" s="24"/>
      <c r="J124" s="24"/>
      <c r="K124" s="24"/>
      <c r="M124"/>
    </row>
    <row r="125" spans="1:13" x14ac:dyDescent="0.25">
      <c r="A125" s="1" t="s">
        <v>3</v>
      </c>
      <c r="B125" s="4">
        <v>9589.49</v>
      </c>
      <c r="C125" s="24"/>
      <c r="D125" s="24"/>
      <c r="E125" s="24"/>
      <c r="G125" s="1" t="s">
        <v>3</v>
      </c>
      <c r="H125" s="4">
        <v>6809.88</v>
      </c>
      <c r="I125" s="24"/>
      <c r="J125" s="24"/>
      <c r="K125" s="24"/>
      <c r="M125"/>
    </row>
    <row r="126" spans="1:13" x14ac:dyDescent="0.25">
      <c r="A126" s="1" t="s">
        <v>4</v>
      </c>
      <c r="B126" s="1">
        <v>0</v>
      </c>
      <c r="C126" s="24"/>
      <c r="D126" s="24"/>
      <c r="E126" s="24"/>
      <c r="G126" s="1" t="s">
        <v>4</v>
      </c>
      <c r="H126" s="1">
        <v>2095.6</v>
      </c>
      <c r="I126" s="24"/>
      <c r="J126" s="24"/>
      <c r="K126" s="24"/>
      <c r="M126"/>
    </row>
    <row r="127" spans="1:13" x14ac:dyDescent="0.25">
      <c r="A127" s="1" t="s">
        <v>5</v>
      </c>
      <c r="B127" s="1">
        <v>77276.3</v>
      </c>
      <c r="C127" s="24"/>
      <c r="D127" s="24"/>
      <c r="E127" s="24"/>
      <c r="G127" s="1" t="s">
        <v>5</v>
      </c>
      <c r="H127" s="1">
        <f>SUM(H123:H126)</f>
        <v>75240.680000000008</v>
      </c>
      <c r="I127" s="24"/>
      <c r="J127" s="24"/>
      <c r="K127" s="24"/>
      <c r="M127"/>
    </row>
    <row r="128" spans="1:13" x14ac:dyDescent="0.25">
      <c r="A128" s="23"/>
      <c r="B128" s="23"/>
      <c r="C128" s="24"/>
      <c r="D128" s="24"/>
      <c r="E128" s="24"/>
      <c r="G128" s="23"/>
      <c r="H128" s="23"/>
      <c r="I128" s="24"/>
      <c r="J128" s="24"/>
      <c r="K128" s="24"/>
      <c r="M128"/>
    </row>
    <row r="129" spans="1:13" x14ac:dyDescent="0.25">
      <c r="A129" s="23"/>
      <c r="B129" s="23"/>
      <c r="C129" s="24"/>
      <c r="D129" s="24"/>
      <c r="E129" s="24"/>
      <c r="G129" s="23"/>
      <c r="H129" s="23"/>
      <c r="I129" s="24"/>
      <c r="J129" s="24"/>
      <c r="K129" s="24"/>
      <c r="M129"/>
    </row>
    <row r="130" spans="1:13" x14ac:dyDescent="0.25">
      <c r="A130" s="1" t="s">
        <v>6</v>
      </c>
      <c r="B130" s="1" t="s">
        <v>7</v>
      </c>
      <c r="C130" s="24"/>
      <c r="D130" s="24"/>
      <c r="E130" s="24"/>
      <c r="G130" s="1" t="s">
        <v>6</v>
      </c>
      <c r="H130" s="1" t="s">
        <v>7</v>
      </c>
      <c r="I130" s="24"/>
      <c r="J130" s="24"/>
      <c r="K130" s="24"/>
      <c r="M130"/>
    </row>
    <row r="131" spans="1:13" x14ac:dyDescent="0.25">
      <c r="A131" s="1" t="s">
        <v>3</v>
      </c>
      <c r="B131" s="2">
        <v>2019.74</v>
      </c>
      <c r="C131" s="24"/>
      <c r="D131" s="24"/>
      <c r="E131" s="24"/>
      <c r="G131" s="1" t="s">
        <v>3</v>
      </c>
      <c r="H131" s="2">
        <v>1408.89</v>
      </c>
      <c r="I131" s="24"/>
      <c r="J131" s="24"/>
      <c r="K131" s="24"/>
      <c r="M131"/>
    </row>
    <row r="132" spans="1:13" x14ac:dyDescent="0.25">
      <c r="A132" s="1" t="s">
        <v>8</v>
      </c>
      <c r="B132" s="2">
        <v>1237.52</v>
      </c>
      <c r="C132" s="24"/>
      <c r="D132" s="24"/>
      <c r="E132" s="24"/>
      <c r="G132" s="1" t="s">
        <v>30</v>
      </c>
      <c r="H132" s="2">
        <v>1173.81</v>
      </c>
      <c r="I132" s="24"/>
      <c r="J132" s="24"/>
      <c r="K132" s="24"/>
      <c r="M132"/>
    </row>
    <row r="133" spans="1:13" x14ac:dyDescent="0.25">
      <c r="A133" s="1" t="s">
        <v>9</v>
      </c>
      <c r="B133" s="2">
        <v>3257.26</v>
      </c>
      <c r="C133" s="24"/>
      <c r="D133" s="24"/>
      <c r="E133" s="24"/>
      <c r="G133" s="1" t="s">
        <v>9</v>
      </c>
      <c r="H133" s="2">
        <f>SUM(H131:H132)</f>
        <v>2582.6999999999998</v>
      </c>
      <c r="I133" s="24"/>
      <c r="J133" s="24"/>
      <c r="K133" s="24"/>
      <c r="M133"/>
    </row>
    <row r="134" spans="1:13" x14ac:dyDescent="0.25">
      <c r="A134" s="23"/>
      <c r="B134" s="23"/>
      <c r="C134" s="24"/>
      <c r="D134" s="24"/>
      <c r="E134" s="24"/>
      <c r="G134" s="23"/>
      <c r="H134" s="23"/>
      <c r="I134" s="24"/>
      <c r="J134" s="24"/>
      <c r="K134" s="24"/>
      <c r="M134"/>
    </row>
    <row r="135" spans="1:13" x14ac:dyDescent="0.25">
      <c r="A135" s="23"/>
      <c r="B135" s="23"/>
      <c r="C135" s="24"/>
      <c r="D135" s="24"/>
      <c r="E135" s="24"/>
      <c r="G135" s="23"/>
      <c r="H135" s="23"/>
      <c r="I135" s="24"/>
      <c r="J135" s="24"/>
      <c r="K135" s="24"/>
      <c r="M135"/>
    </row>
    <row r="136" spans="1:13" x14ac:dyDescent="0.25">
      <c r="A136" s="1" t="s">
        <v>10</v>
      </c>
      <c r="B136" s="1">
        <f>B127-B133</f>
        <v>74019.040000000008</v>
      </c>
      <c r="C136" s="24"/>
      <c r="D136" s="24"/>
      <c r="E136" s="24"/>
      <c r="G136" s="1" t="s">
        <v>10</v>
      </c>
      <c r="H136" s="1">
        <f>H127-H133</f>
        <v>72657.98000000001</v>
      </c>
      <c r="I136" s="24"/>
      <c r="J136" s="24"/>
      <c r="K136" s="24"/>
      <c r="M136"/>
    </row>
    <row r="137" spans="1:13" x14ac:dyDescent="0.25">
      <c r="A137" s="23"/>
      <c r="B137" s="23"/>
      <c r="C137" s="24"/>
      <c r="D137" s="24"/>
      <c r="E137" s="24"/>
      <c r="G137" s="23"/>
      <c r="H137" s="23"/>
      <c r="I137" s="24"/>
      <c r="J137" s="24"/>
      <c r="K137" s="24"/>
      <c r="M137"/>
    </row>
    <row r="138" spans="1:13" x14ac:dyDescent="0.25">
      <c r="A138" s="23"/>
      <c r="B138" s="23"/>
      <c r="C138" s="24"/>
      <c r="D138" s="24"/>
      <c r="E138" s="24"/>
      <c r="G138" s="23"/>
      <c r="H138" s="23"/>
      <c r="I138" s="24"/>
      <c r="J138" s="24"/>
      <c r="K138" s="24"/>
      <c r="M138"/>
    </row>
    <row r="139" spans="1:13" x14ac:dyDescent="0.25">
      <c r="A139" s="1" t="s">
        <v>11</v>
      </c>
      <c r="B139" s="1" t="s">
        <v>7</v>
      </c>
      <c r="C139" s="24"/>
      <c r="D139" s="24"/>
      <c r="E139" s="24"/>
      <c r="G139" s="1" t="s">
        <v>11</v>
      </c>
      <c r="H139" s="1" t="s">
        <v>7</v>
      </c>
      <c r="I139" s="24"/>
      <c r="J139" s="24"/>
      <c r="K139" s="24"/>
      <c r="M139"/>
    </row>
    <row r="140" spans="1:13" x14ac:dyDescent="0.25">
      <c r="A140" s="1" t="s">
        <v>12</v>
      </c>
      <c r="B140" s="2">
        <v>27531.32</v>
      </c>
      <c r="C140" s="24"/>
      <c r="D140" s="24"/>
      <c r="E140" s="24"/>
      <c r="G140" s="1" t="s">
        <v>12</v>
      </c>
      <c r="H140" s="2">
        <v>26837.27</v>
      </c>
      <c r="I140" s="24"/>
      <c r="J140" s="24"/>
      <c r="K140" s="24"/>
      <c r="M140"/>
    </row>
    <row r="141" spans="1:13" x14ac:dyDescent="0.25">
      <c r="A141" s="1" t="s">
        <v>13</v>
      </c>
      <c r="B141" s="2">
        <v>14647.78</v>
      </c>
      <c r="C141" s="24"/>
      <c r="D141" s="24"/>
      <c r="E141" s="24"/>
      <c r="G141" s="1" t="s">
        <v>13</v>
      </c>
      <c r="H141" s="2">
        <v>23367.49</v>
      </c>
      <c r="I141" s="24"/>
      <c r="J141" s="24"/>
      <c r="K141" s="24"/>
      <c r="M141"/>
    </row>
    <row r="142" spans="1:13" x14ac:dyDescent="0.25">
      <c r="A142" s="1" t="s">
        <v>14</v>
      </c>
      <c r="B142" s="2">
        <v>20000</v>
      </c>
      <c r="C142" s="24"/>
      <c r="D142" s="24"/>
      <c r="E142" s="24"/>
      <c r="G142" s="1" t="s">
        <v>14</v>
      </c>
      <c r="H142" s="2">
        <v>13080</v>
      </c>
      <c r="I142" s="24"/>
      <c r="J142" s="24"/>
      <c r="K142" s="24"/>
      <c r="M142"/>
    </row>
    <row r="143" spans="1:13" x14ac:dyDescent="0.25">
      <c r="A143" s="1" t="s">
        <v>18</v>
      </c>
      <c r="B143" s="2">
        <v>500</v>
      </c>
      <c r="C143" s="24"/>
      <c r="D143" s="24"/>
      <c r="E143" s="24"/>
      <c r="G143" s="1" t="s">
        <v>18</v>
      </c>
      <c r="H143" s="2">
        <v>120</v>
      </c>
      <c r="I143" s="24"/>
      <c r="J143" s="24"/>
      <c r="K143" s="24"/>
      <c r="M143"/>
    </row>
    <row r="144" spans="1:13" x14ac:dyDescent="0.25">
      <c r="A144" s="1" t="s">
        <v>9</v>
      </c>
      <c r="B144" s="2">
        <f>SUM(B140:B143)</f>
        <v>62679.1</v>
      </c>
      <c r="C144" s="24"/>
      <c r="D144" s="24"/>
      <c r="E144" s="24"/>
      <c r="G144" s="1" t="s">
        <v>9</v>
      </c>
      <c r="H144" s="2">
        <f>SUM(H140:H143)</f>
        <v>63404.76</v>
      </c>
      <c r="I144" s="24"/>
      <c r="J144" s="24"/>
      <c r="K144" s="24"/>
      <c r="M144"/>
    </row>
    <row r="145" spans="1:13" x14ac:dyDescent="0.25">
      <c r="A145" s="6"/>
      <c r="B145" s="1"/>
      <c r="C145" s="24"/>
      <c r="D145" s="24"/>
      <c r="E145" s="24"/>
      <c r="G145" s="6"/>
      <c r="H145" s="1"/>
      <c r="I145" s="24"/>
      <c r="J145" s="24"/>
      <c r="K145" s="24"/>
      <c r="M145"/>
    </row>
    <row r="146" spans="1:13" x14ac:dyDescent="0.25">
      <c r="A146" s="1" t="s">
        <v>15</v>
      </c>
      <c r="B146" s="1">
        <f>B136-B144</f>
        <v>11339.94000000001</v>
      </c>
      <c r="C146" s="24"/>
      <c r="D146" s="24"/>
      <c r="E146" s="24"/>
      <c r="G146" s="1" t="s">
        <v>15</v>
      </c>
      <c r="H146" s="1">
        <f>H136-H144</f>
        <v>9253.2200000000084</v>
      </c>
      <c r="I146" s="24"/>
      <c r="J146" s="24"/>
      <c r="K146" s="24"/>
      <c r="M146"/>
    </row>
    <row r="147" spans="1:13" x14ac:dyDescent="0.25">
      <c r="A147" s="1" t="s">
        <v>16</v>
      </c>
      <c r="B147" s="3">
        <f>B146/B136</f>
        <v>0.1532030137110669</v>
      </c>
      <c r="C147" s="24"/>
      <c r="D147" s="24"/>
      <c r="E147" s="24"/>
      <c r="G147" s="1" t="s">
        <v>16</v>
      </c>
      <c r="H147" s="3">
        <f>H146/H136</f>
        <v>0.12735311386306097</v>
      </c>
      <c r="I147" s="24"/>
      <c r="J147" s="24"/>
      <c r="K147" s="24"/>
      <c r="M147"/>
    </row>
    <row r="148" spans="1:13" x14ac:dyDescent="0.25">
      <c r="A148" s="1" t="s">
        <v>17</v>
      </c>
      <c r="B148" s="3">
        <f>B146/B127</f>
        <v>0.14674537989008285</v>
      </c>
      <c r="C148" s="24"/>
      <c r="D148" s="24"/>
      <c r="E148" s="24"/>
      <c r="G148" s="1" t="s">
        <v>17</v>
      </c>
      <c r="H148" s="3">
        <f>H146/H127</f>
        <v>0.12298161047986285</v>
      </c>
      <c r="I148" s="24"/>
      <c r="J148" s="24"/>
      <c r="K148" s="24"/>
      <c r="M148"/>
    </row>
    <row r="149" spans="1:13" x14ac:dyDescent="0.25">
      <c r="G149" s="5"/>
      <c r="H149"/>
      <c r="I149"/>
      <c r="J149"/>
      <c r="K149"/>
      <c r="M149"/>
    </row>
    <row r="150" spans="1:13" x14ac:dyDescent="0.25">
      <c r="G150" s="5"/>
      <c r="H150"/>
      <c r="I150"/>
      <c r="J150"/>
      <c r="K150"/>
      <c r="M150"/>
    </row>
    <row r="151" spans="1:13" x14ac:dyDescent="0.25">
      <c r="G151" s="5"/>
      <c r="H151"/>
      <c r="I151"/>
      <c r="J151"/>
      <c r="K151"/>
      <c r="M151"/>
    </row>
    <row r="152" spans="1:13" x14ac:dyDescent="0.25">
      <c r="G152" s="5"/>
      <c r="H152"/>
      <c r="I152"/>
      <c r="J152"/>
      <c r="K152"/>
      <c r="M152"/>
    </row>
    <row r="153" spans="1:13" x14ac:dyDescent="0.25">
      <c r="G153" s="5"/>
      <c r="H153"/>
      <c r="I153"/>
      <c r="J153"/>
      <c r="K153"/>
      <c r="M153"/>
    </row>
    <row r="154" spans="1:13" x14ac:dyDescent="0.25">
      <c r="G154" s="5"/>
      <c r="H154"/>
      <c r="I154"/>
      <c r="J154"/>
      <c r="K154"/>
      <c r="M154"/>
    </row>
  </sheetData>
  <mergeCells count="43">
    <mergeCell ref="G114:K121"/>
    <mergeCell ref="G122:H122"/>
    <mergeCell ref="I122:K148"/>
    <mergeCell ref="G128:H129"/>
    <mergeCell ref="G134:H135"/>
    <mergeCell ref="G137:H138"/>
    <mergeCell ref="G96:H97"/>
    <mergeCell ref="G99:H100"/>
    <mergeCell ref="A1:E8"/>
    <mergeCell ref="A9:B9"/>
    <mergeCell ref="C9:E35"/>
    <mergeCell ref="A15:B16"/>
    <mergeCell ref="A21:B22"/>
    <mergeCell ref="A24:B25"/>
    <mergeCell ref="A31:B32"/>
    <mergeCell ref="A39:E46"/>
    <mergeCell ref="A47:B47"/>
    <mergeCell ref="C47:E73"/>
    <mergeCell ref="A53:B54"/>
    <mergeCell ref="A59:B60"/>
    <mergeCell ref="A62:B63"/>
    <mergeCell ref="G21:H22"/>
    <mergeCell ref="G24:H25"/>
    <mergeCell ref="F1:F1048576"/>
    <mergeCell ref="G1:K8"/>
    <mergeCell ref="G9:H9"/>
    <mergeCell ref="I9:K35"/>
    <mergeCell ref="G15:H16"/>
    <mergeCell ref="G39:K46"/>
    <mergeCell ref="G47:H47"/>
    <mergeCell ref="I47:K73"/>
    <mergeCell ref="G53:H54"/>
    <mergeCell ref="G59:H60"/>
    <mergeCell ref="G62:H63"/>
    <mergeCell ref="G76:K83"/>
    <mergeCell ref="G84:H84"/>
    <mergeCell ref="G90:H91"/>
    <mergeCell ref="A114:E121"/>
    <mergeCell ref="A122:B122"/>
    <mergeCell ref="C122:E148"/>
    <mergeCell ref="A128:B129"/>
    <mergeCell ref="A134:B135"/>
    <mergeCell ref="A137:B138"/>
  </mergeCells>
  <pageMargins left="0.511811024" right="0.511811024" top="0.78740157499999996" bottom="0.78740157499999996" header="0.31496062000000002" footer="0.31496062000000002"/>
  <pageSetup paperSize="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opLeftCell="A7" workbookViewId="0">
      <selection activeCell="B14" sqref="B14"/>
    </sheetView>
  </sheetViews>
  <sheetFormatPr defaultRowHeight="15" x14ac:dyDescent="0.25"/>
  <cols>
    <col min="1" max="1" width="35.140625" bestFit="1" customWidth="1"/>
    <col min="2" max="2" width="12.28515625" bestFit="1" customWidth="1"/>
  </cols>
  <sheetData>
    <row r="1" spans="1:5" x14ac:dyDescent="0.25">
      <c r="A1" s="22" t="s">
        <v>23</v>
      </c>
      <c r="B1" s="22"/>
      <c r="C1" s="22"/>
      <c r="D1" s="22"/>
      <c r="E1" s="22"/>
    </row>
    <row r="2" spans="1:5" x14ac:dyDescent="0.25">
      <c r="A2" s="22"/>
      <c r="B2" s="22"/>
      <c r="C2" s="22"/>
      <c r="D2" s="22"/>
      <c r="E2" s="22"/>
    </row>
    <row r="3" spans="1:5" x14ac:dyDescent="0.25">
      <c r="A3" s="22"/>
      <c r="B3" s="22"/>
      <c r="C3" s="22"/>
      <c r="D3" s="22"/>
      <c r="E3" s="22"/>
    </row>
    <row r="4" spans="1:5" x14ac:dyDescent="0.25">
      <c r="A4" s="22"/>
      <c r="B4" s="22"/>
      <c r="C4" s="22"/>
      <c r="D4" s="22"/>
      <c r="E4" s="22"/>
    </row>
    <row r="5" spans="1:5" x14ac:dyDescent="0.25">
      <c r="A5" s="22"/>
      <c r="B5" s="22"/>
      <c r="C5" s="22"/>
      <c r="D5" s="22"/>
      <c r="E5" s="22"/>
    </row>
    <row r="6" spans="1:5" x14ac:dyDescent="0.25">
      <c r="A6" s="22"/>
      <c r="B6" s="22"/>
      <c r="C6" s="22"/>
      <c r="D6" s="22"/>
      <c r="E6" s="22"/>
    </row>
    <row r="7" spans="1:5" x14ac:dyDescent="0.25">
      <c r="A7" s="22"/>
      <c r="B7" s="22"/>
      <c r="C7" s="22"/>
      <c r="D7" s="22"/>
      <c r="E7" s="22"/>
    </row>
    <row r="8" spans="1:5" x14ac:dyDescent="0.25">
      <c r="A8" s="22"/>
      <c r="B8" s="22"/>
      <c r="C8" s="22"/>
      <c r="D8" s="22"/>
      <c r="E8" s="22"/>
    </row>
    <row r="9" spans="1:5" x14ac:dyDescent="0.25">
      <c r="A9" s="23" t="s">
        <v>0</v>
      </c>
      <c r="B9" s="23"/>
      <c r="C9" s="24"/>
      <c r="D9" s="24"/>
      <c r="E9" s="24"/>
    </row>
    <row r="10" spans="1:5" x14ac:dyDescent="0.25">
      <c r="A10" s="1" t="s">
        <v>1</v>
      </c>
      <c r="B10" s="1"/>
      <c r="C10" s="24"/>
      <c r="D10" s="24"/>
      <c r="E10" s="24"/>
    </row>
    <row r="11" spans="1:5" x14ac:dyDescent="0.25">
      <c r="A11" s="1" t="s">
        <v>2</v>
      </c>
      <c r="B11" s="1">
        <v>4220.8999999999996</v>
      </c>
      <c r="C11" s="24"/>
      <c r="D11" s="24"/>
      <c r="E11" s="24"/>
    </row>
    <row r="12" spans="1:5" x14ac:dyDescent="0.25">
      <c r="A12" s="1" t="s">
        <v>3</v>
      </c>
      <c r="B12" s="4"/>
      <c r="C12" s="24"/>
      <c r="D12" s="24"/>
      <c r="E12" s="24"/>
    </row>
    <row r="13" spans="1:5" x14ac:dyDescent="0.25">
      <c r="A13" s="1" t="s">
        <v>4</v>
      </c>
      <c r="B13" s="1"/>
      <c r="C13" s="24"/>
      <c r="D13" s="24"/>
      <c r="E13" s="24"/>
    </row>
    <row r="14" spans="1:5" x14ac:dyDescent="0.25">
      <c r="A14" s="1" t="s">
        <v>5</v>
      </c>
      <c r="B14" s="1"/>
      <c r="C14" s="24"/>
      <c r="D14" s="24"/>
      <c r="E14" s="24"/>
    </row>
    <row r="15" spans="1:5" x14ac:dyDescent="0.25">
      <c r="A15" s="23"/>
      <c r="B15" s="23"/>
      <c r="C15" s="24"/>
      <c r="D15" s="24"/>
      <c r="E15" s="24"/>
    </row>
    <row r="16" spans="1:5" x14ac:dyDescent="0.25">
      <c r="A16" s="23"/>
      <c r="B16" s="23"/>
      <c r="C16" s="24"/>
      <c r="D16" s="24"/>
      <c r="E16" s="24"/>
    </row>
    <row r="17" spans="1:5" x14ac:dyDescent="0.25">
      <c r="A17" s="1" t="s">
        <v>6</v>
      </c>
      <c r="B17" s="1" t="s">
        <v>7</v>
      </c>
      <c r="C17" s="24"/>
      <c r="D17" s="24"/>
      <c r="E17" s="24"/>
    </row>
    <row r="18" spans="1:5" x14ac:dyDescent="0.25">
      <c r="A18" s="1" t="s">
        <v>3</v>
      </c>
      <c r="B18" s="2">
        <v>995.57</v>
      </c>
      <c r="C18" s="24"/>
      <c r="D18" s="24"/>
      <c r="E18" s="24"/>
    </row>
    <row r="19" spans="1:5" x14ac:dyDescent="0.25">
      <c r="A19" s="1" t="s">
        <v>8</v>
      </c>
      <c r="B19" s="2">
        <v>-1310.01</v>
      </c>
      <c r="C19" s="24"/>
      <c r="D19" s="24"/>
      <c r="E19" s="24"/>
    </row>
    <row r="20" spans="1:5" x14ac:dyDescent="0.25">
      <c r="A20" s="1" t="s">
        <v>9</v>
      </c>
      <c r="B20" s="2">
        <f>SUM(B18:B19)</f>
        <v>-314.43999999999994</v>
      </c>
      <c r="C20" s="24"/>
      <c r="D20" s="24"/>
      <c r="E20" s="24"/>
    </row>
    <row r="21" spans="1:5" x14ac:dyDescent="0.25">
      <c r="A21" s="23"/>
      <c r="B21" s="23"/>
      <c r="C21" s="24"/>
      <c r="D21" s="24"/>
      <c r="E21" s="24"/>
    </row>
    <row r="22" spans="1:5" x14ac:dyDescent="0.25">
      <c r="A22" s="23"/>
      <c r="B22" s="23"/>
      <c r="C22" s="24"/>
      <c r="D22" s="24"/>
      <c r="E22" s="24"/>
    </row>
    <row r="23" spans="1:5" x14ac:dyDescent="0.25">
      <c r="A23" s="1" t="s">
        <v>10</v>
      </c>
      <c r="B23" s="1">
        <f>B14+B20</f>
        <v>-314.43999999999994</v>
      </c>
      <c r="C23" s="24"/>
      <c r="D23" s="24"/>
      <c r="E23" s="24"/>
    </row>
    <row r="24" spans="1:5" x14ac:dyDescent="0.25">
      <c r="A24" s="23"/>
      <c r="B24" s="23"/>
      <c r="C24" s="24"/>
      <c r="D24" s="24"/>
      <c r="E24" s="24"/>
    </row>
    <row r="25" spans="1:5" x14ac:dyDescent="0.25">
      <c r="A25" s="23"/>
      <c r="B25" s="23"/>
      <c r="C25" s="24"/>
      <c r="D25" s="24"/>
      <c r="E25" s="24"/>
    </row>
    <row r="26" spans="1:5" x14ac:dyDescent="0.25">
      <c r="A26" s="1" t="s">
        <v>11</v>
      </c>
      <c r="B26" s="1" t="s">
        <v>7</v>
      </c>
      <c r="C26" s="24"/>
      <c r="D26" s="24"/>
      <c r="E26" s="24"/>
    </row>
    <row r="27" spans="1:5" x14ac:dyDescent="0.25">
      <c r="A27" s="1" t="s">
        <v>12</v>
      </c>
      <c r="B27" s="2">
        <v>37872.03</v>
      </c>
      <c r="C27" s="24"/>
      <c r="D27" s="24"/>
      <c r="E27" s="24"/>
    </row>
    <row r="28" spans="1:5" x14ac:dyDescent="0.25">
      <c r="A28" s="1" t="s">
        <v>13</v>
      </c>
      <c r="B28" s="2">
        <v>15799.34</v>
      </c>
      <c r="C28" s="24"/>
      <c r="D28" s="24"/>
      <c r="E28" s="24"/>
    </row>
    <row r="29" spans="1:5" x14ac:dyDescent="0.25">
      <c r="A29" s="1" t="s">
        <v>14</v>
      </c>
      <c r="B29" s="2">
        <v>22303</v>
      </c>
      <c r="C29" s="24"/>
      <c r="D29" s="24"/>
      <c r="E29" s="24"/>
    </row>
    <row r="30" spans="1:5" x14ac:dyDescent="0.25">
      <c r="A30" s="1" t="s">
        <v>18</v>
      </c>
      <c r="B30" s="2">
        <v>633.5</v>
      </c>
      <c r="C30" s="24"/>
      <c r="D30" s="24"/>
      <c r="E30" s="24"/>
    </row>
    <row r="31" spans="1:5" x14ac:dyDescent="0.25">
      <c r="A31" s="1" t="s">
        <v>9</v>
      </c>
      <c r="B31" s="2">
        <f>SUM(B27:B30)</f>
        <v>76607.87</v>
      </c>
      <c r="C31" s="24"/>
      <c r="D31" s="24"/>
      <c r="E31" s="24"/>
    </row>
    <row r="32" spans="1:5" x14ac:dyDescent="0.25">
      <c r="A32" s="6"/>
      <c r="B32" s="6"/>
      <c r="C32" s="24"/>
      <c r="D32" s="24"/>
      <c r="E32" s="24"/>
    </row>
    <row r="33" spans="1:5" x14ac:dyDescent="0.25">
      <c r="A33" s="1" t="s">
        <v>15</v>
      </c>
      <c r="B33" s="1">
        <f>B23-B31</f>
        <v>-76922.31</v>
      </c>
      <c r="C33" s="24"/>
      <c r="D33" s="24"/>
      <c r="E33" s="24"/>
    </row>
    <row r="34" spans="1:5" x14ac:dyDescent="0.25">
      <c r="A34" s="1" t="s">
        <v>16</v>
      </c>
      <c r="B34" s="3">
        <f>B33/B23</f>
        <v>244.63271212313958</v>
      </c>
      <c r="C34" s="24"/>
      <c r="D34" s="24"/>
      <c r="E34" s="24"/>
    </row>
    <row r="35" spans="1:5" x14ac:dyDescent="0.25">
      <c r="A35" s="1" t="s">
        <v>17</v>
      </c>
      <c r="B35" s="3" t="e">
        <f>B33/B14</f>
        <v>#DIV/0!</v>
      </c>
      <c r="C35" s="24"/>
      <c r="D35" s="24"/>
      <c r="E35" s="24"/>
    </row>
  </sheetData>
  <mergeCells count="6">
    <mergeCell ref="A1:E8"/>
    <mergeCell ref="A9:B9"/>
    <mergeCell ref="C9:E35"/>
    <mergeCell ref="A15:B16"/>
    <mergeCell ref="A21:B22"/>
    <mergeCell ref="A24:B2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Lima</dc:creator>
  <cp:lastModifiedBy>Kauã Lima</cp:lastModifiedBy>
  <dcterms:created xsi:type="dcterms:W3CDTF">2025-10-02T19:58:59Z</dcterms:created>
  <dcterms:modified xsi:type="dcterms:W3CDTF">2026-03-03T21:12:32Z</dcterms:modified>
</cp:coreProperties>
</file>